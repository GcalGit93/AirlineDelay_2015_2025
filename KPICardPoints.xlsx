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1cal\Desktop\Competed Projects\AirlineDelay_2015_2025\"/>
    </mc:Choice>
  </mc:AlternateContent>
  <xr:revisionPtr revIDLastSave="0" documentId="8_{595AE77E-D9F3-4F29-9943-7F04C36D4D46}" xr6:coauthVersionLast="47" xr6:coauthVersionMax="47" xr10:uidLastSave="{00000000-0000-0000-0000-000000000000}"/>
  <bookViews>
    <workbookView xWindow="-108" yWindow="-108" windowWidth="23256" windowHeight="13176" xr2:uid="{E698D500-04F6-4D2D-95C1-A9E72D3D96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S2" i="1"/>
  <c r="R2" i="1"/>
  <c r="E76" i="1" l="1"/>
  <c r="E60" i="1"/>
  <c r="E44" i="1"/>
  <c r="E28" i="1"/>
  <c r="E12" i="1"/>
  <c r="F96" i="1"/>
  <c r="F9" i="1"/>
  <c r="E70" i="1"/>
  <c r="E22" i="1"/>
  <c r="E53" i="1"/>
  <c r="E37" i="1"/>
  <c r="F25" i="1"/>
  <c r="T2" i="1"/>
  <c r="E2" i="1" s="1"/>
  <c r="F42" i="1"/>
  <c r="E21" i="1"/>
  <c r="E99" i="1"/>
  <c r="E83" i="1"/>
  <c r="E67" i="1"/>
  <c r="E51" i="1"/>
  <c r="F53" i="1"/>
  <c r="F21" i="1"/>
  <c r="E80" i="1"/>
  <c r="E64" i="1"/>
  <c r="E48" i="1"/>
  <c r="E32" i="1"/>
  <c r="F68" i="1"/>
  <c r="F54" i="1"/>
  <c r="F38" i="1"/>
  <c r="E81" i="1"/>
  <c r="E47" i="1"/>
  <c r="E31" i="1"/>
  <c r="E15" i="1"/>
  <c r="F99" i="1"/>
  <c r="E93" i="1" l="1"/>
  <c r="E6" i="1"/>
  <c r="F62" i="1"/>
  <c r="E98" i="1"/>
  <c r="E88" i="1"/>
  <c r="F2" i="1"/>
  <c r="E4" i="1"/>
  <c r="F78" i="1"/>
  <c r="F90" i="1"/>
  <c r="E97" i="1"/>
  <c r="E54" i="1"/>
  <c r="E94" i="1"/>
  <c r="E23" i="1"/>
  <c r="F34" i="1"/>
  <c r="E14" i="1"/>
  <c r="E38" i="1"/>
  <c r="F43" i="1"/>
  <c r="F35" i="1"/>
  <c r="E72" i="1"/>
  <c r="E50" i="1"/>
  <c r="E52" i="1"/>
  <c r="E26" i="1"/>
  <c r="E39" i="1"/>
  <c r="F86" i="1"/>
  <c r="F98" i="1"/>
  <c r="F70" i="1"/>
  <c r="F94" i="1"/>
  <c r="E10" i="1"/>
  <c r="F51" i="1"/>
  <c r="E89" i="1"/>
  <c r="F23" i="1"/>
  <c r="E68" i="1"/>
  <c r="F48" i="1"/>
  <c r="E55" i="1"/>
  <c r="F81" i="1"/>
  <c r="F22" i="1"/>
  <c r="E20" i="1"/>
  <c r="E34" i="1"/>
  <c r="F67" i="1"/>
  <c r="F36" i="1"/>
  <c r="E19" i="1"/>
  <c r="E84" i="1"/>
  <c r="F64" i="1"/>
  <c r="E71" i="1"/>
  <c r="F30" i="1"/>
  <c r="F46" i="1"/>
  <c r="E66" i="1"/>
  <c r="E18" i="1"/>
  <c r="F19" i="1"/>
  <c r="E36" i="1"/>
  <c r="F83" i="1"/>
  <c r="F52" i="1"/>
  <c r="E35" i="1"/>
  <c r="E100" i="1"/>
  <c r="F80" i="1"/>
  <c r="E87" i="1"/>
  <c r="E8" i="1"/>
  <c r="F59" i="1"/>
  <c r="E69" i="1"/>
  <c r="E42" i="1"/>
  <c r="F97" i="1"/>
  <c r="E24" i="1"/>
  <c r="E85" i="1"/>
  <c r="E58" i="1"/>
  <c r="E13" i="1"/>
  <c r="E40" i="1"/>
  <c r="E101" i="1"/>
  <c r="E74" i="1"/>
  <c r="E29" i="1"/>
  <c r="E56" i="1"/>
  <c r="E79" i="1"/>
  <c r="F5" i="1"/>
  <c r="F56" i="1"/>
  <c r="F26" i="1"/>
  <c r="E90" i="1"/>
  <c r="E45" i="1"/>
  <c r="E9" i="1"/>
  <c r="F50" i="1"/>
  <c r="F100" i="1"/>
  <c r="F58" i="1"/>
  <c r="E61" i="1"/>
  <c r="E25" i="1"/>
  <c r="E63" i="1"/>
  <c r="E82" i="1"/>
  <c r="F84" i="1"/>
  <c r="F66" i="1"/>
  <c r="E33" i="1"/>
  <c r="F6" i="1"/>
  <c r="F72" i="1"/>
  <c r="F16" i="1"/>
  <c r="F82" i="1"/>
  <c r="E49" i="1"/>
  <c r="E16" i="1"/>
  <c r="F7" i="1"/>
  <c r="F88" i="1"/>
  <c r="F74" i="1"/>
  <c r="F32" i="1"/>
  <c r="E77" i="1"/>
  <c r="F10" i="1"/>
  <c r="E86" i="1"/>
  <c r="E41" i="1"/>
  <c r="E75" i="1"/>
  <c r="F11" i="1"/>
  <c r="F27" i="1"/>
  <c r="E57" i="1"/>
  <c r="E73" i="1"/>
  <c r="E11" i="1"/>
  <c r="E95" i="1"/>
  <c r="F55" i="1"/>
  <c r="F85" i="1"/>
  <c r="F12" i="1"/>
  <c r="F33" i="1"/>
  <c r="F75" i="1"/>
  <c r="E27" i="1"/>
  <c r="F39" i="1"/>
  <c r="F41" i="1"/>
  <c r="E92" i="1"/>
  <c r="E30" i="1"/>
  <c r="F69" i="1"/>
  <c r="F57" i="1"/>
  <c r="F17" i="1"/>
  <c r="E46" i="1"/>
  <c r="E96" i="1"/>
  <c r="F71" i="1"/>
  <c r="F73" i="1"/>
  <c r="F37" i="1"/>
  <c r="F87" i="1"/>
  <c r="F89" i="1"/>
  <c r="E91" i="1"/>
  <c r="F91" i="1"/>
  <c r="F44" i="1"/>
  <c r="F45" i="1"/>
  <c r="F93" i="1"/>
  <c r="F60" i="1"/>
  <c r="F61" i="1"/>
  <c r="F31" i="1"/>
  <c r="F47" i="1"/>
  <c r="F63" i="1"/>
  <c r="F79" i="1"/>
  <c r="F95" i="1"/>
  <c r="F28" i="1"/>
  <c r="F76" i="1"/>
  <c r="F92" i="1"/>
  <c r="F29" i="1"/>
  <c r="F77" i="1"/>
  <c r="E43" i="1"/>
  <c r="F3" i="1"/>
  <c r="F8" i="1"/>
  <c r="E59" i="1"/>
  <c r="E62" i="1"/>
  <c r="F4" i="1"/>
  <c r="E17" i="1"/>
  <c r="F24" i="1"/>
  <c r="F13" i="1"/>
  <c r="F49" i="1"/>
  <c r="E78" i="1"/>
  <c r="F101" i="1"/>
  <c r="F20" i="1"/>
  <c r="E65" i="1"/>
  <c r="E3" i="1"/>
  <c r="F40" i="1"/>
  <c r="E5" i="1"/>
  <c r="F14" i="1"/>
  <c r="F15" i="1"/>
  <c r="F65" i="1"/>
  <c r="E7" i="1"/>
  <c r="F18" i="1"/>
</calcChain>
</file>

<file path=xl/sharedStrings.xml><?xml version="1.0" encoding="utf-8"?>
<sst xmlns="http://schemas.openxmlformats.org/spreadsheetml/2006/main" count="12" uniqueCount="12">
  <si>
    <t>Width</t>
  </si>
  <si>
    <t>Height</t>
  </si>
  <si>
    <t>Radius</t>
  </si>
  <si>
    <t>N</t>
  </si>
  <si>
    <t>Xc</t>
  </si>
  <si>
    <t>Yc</t>
  </si>
  <si>
    <t>Corner</t>
  </si>
  <si>
    <t>i</t>
  </si>
  <si>
    <t>Angle</t>
  </si>
  <si>
    <t>Xbase</t>
  </si>
  <si>
    <t>Ybase</t>
  </si>
  <si>
    <t>Point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</si>
</sst>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Ybase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Sheet1!$E$2:$E$101</c:f>
              <c:numCache>
                <c:formatCode>General</c:formatCode>
                <c:ptCount val="100"/>
                <c:pt idx="0">
                  <c:v>2</c:v>
                </c:pt>
                <c:pt idx="1">
                  <c:v>1.9990133642141359</c:v>
                </c:pt>
                <c:pt idx="2">
                  <c:v>1.996057350657239</c:v>
                </c:pt>
                <c:pt idx="3">
                  <c:v>1.9911436253643444</c:v>
                </c:pt>
                <c:pt idx="4">
                  <c:v>1.9842915805643155</c:v>
                </c:pt>
                <c:pt idx="5">
                  <c:v>1.9755282581475768</c:v>
                </c:pt>
                <c:pt idx="6">
                  <c:v>1.9648882429441257</c:v>
                </c:pt>
                <c:pt idx="7">
                  <c:v>1.9524135262330098</c:v>
                </c:pt>
                <c:pt idx="8">
                  <c:v>1.9381533400219317</c:v>
                </c:pt>
                <c:pt idx="9">
                  <c:v>1.9221639627510076</c:v>
                </c:pt>
                <c:pt idx="10">
                  <c:v>1.9045084971874737</c:v>
                </c:pt>
                <c:pt idx="11">
                  <c:v>1.8852566213878945</c:v>
                </c:pt>
                <c:pt idx="12">
                  <c:v>1.8644843137107059</c:v>
                </c:pt>
                <c:pt idx="13">
                  <c:v>1.8422735529643444</c:v>
                </c:pt>
                <c:pt idx="14">
                  <c:v>1.8187119948743449</c:v>
                </c:pt>
                <c:pt idx="15">
                  <c:v>1.7938926261462367</c:v>
                </c:pt>
                <c:pt idx="16">
                  <c:v>1.7679133974894983</c:v>
                </c:pt>
                <c:pt idx="17">
                  <c:v>1.7408768370508576</c:v>
                </c:pt>
                <c:pt idx="18">
                  <c:v>1.7128896457825364</c:v>
                </c:pt>
                <c:pt idx="19">
                  <c:v>1.684062276342339</c:v>
                </c:pt>
                <c:pt idx="20">
                  <c:v>1.6545084971874737</c:v>
                </c:pt>
                <c:pt idx="21">
                  <c:v>1.6243449435824275</c:v>
                </c:pt>
                <c:pt idx="22">
                  <c:v>1.5936906572928624</c:v>
                </c:pt>
                <c:pt idx="23">
                  <c:v>1.5626666167821521</c:v>
                </c:pt>
                <c:pt idx="24">
                  <c:v>1.5313952597646567</c:v>
                </c:pt>
                <c:pt idx="25">
                  <c:v>-1.4999999999999998</c:v>
                </c:pt>
                <c:pt idx="26">
                  <c:v>-1.5313952597646565</c:v>
                </c:pt>
                <c:pt idx="27">
                  <c:v>-1.5626666167821519</c:v>
                </c:pt>
                <c:pt idx="28">
                  <c:v>-1.593690657292862</c:v>
                </c:pt>
                <c:pt idx="29">
                  <c:v>-1.6243449435824271</c:v>
                </c:pt>
                <c:pt idx="30">
                  <c:v>-1.6545084971874735</c:v>
                </c:pt>
                <c:pt idx="31">
                  <c:v>-1.6840622763423387</c:v>
                </c:pt>
                <c:pt idx="32">
                  <c:v>-1.7128896457825362</c:v>
                </c:pt>
                <c:pt idx="33">
                  <c:v>-1.7408768370508574</c:v>
                </c:pt>
                <c:pt idx="34">
                  <c:v>-1.7679133974894981</c:v>
                </c:pt>
                <c:pt idx="35">
                  <c:v>-1.7938926261462362</c:v>
                </c:pt>
                <c:pt idx="36">
                  <c:v>-1.8187119948743447</c:v>
                </c:pt>
                <c:pt idx="37">
                  <c:v>-1.8422735529643441</c:v>
                </c:pt>
                <c:pt idx="38">
                  <c:v>-1.8644843137107054</c:v>
                </c:pt>
                <c:pt idx="39">
                  <c:v>-1.8852566213878945</c:v>
                </c:pt>
                <c:pt idx="40">
                  <c:v>-1.9045084971874735</c:v>
                </c:pt>
                <c:pt idx="41">
                  <c:v>-1.9221639627510072</c:v>
                </c:pt>
                <c:pt idx="42">
                  <c:v>-1.9381533400219315</c:v>
                </c:pt>
                <c:pt idx="43">
                  <c:v>-1.9524135262330096</c:v>
                </c:pt>
                <c:pt idx="44">
                  <c:v>-1.9648882429441255</c:v>
                </c:pt>
                <c:pt idx="45">
                  <c:v>-1.9755282581475766</c:v>
                </c:pt>
                <c:pt idx="46">
                  <c:v>-1.9842915805643153</c:v>
                </c:pt>
                <c:pt idx="47">
                  <c:v>-1.9911436253643442</c:v>
                </c:pt>
                <c:pt idx="48">
                  <c:v>-1.9960573506572388</c:v>
                </c:pt>
                <c:pt idx="49">
                  <c:v>-1.9990133642141354</c:v>
                </c:pt>
                <c:pt idx="50">
                  <c:v>-2.0000000000000004</c:v>
                </c:pt>
                <c:pt idx="51">
                  <c:v>-1.9990133642141363</c:v>
                </c:pt>
                <c:pt idx="52">
                  <c:v>-1.9960573506572394</c:v>
                </c:pt>
                <c:pt idx="53">
                  <c:v>-1.9911436253643449</c:v>
                </c:pt>
                <c:pt idx="54">
                  <c:v>-1.984291580564316</c:v>
                </c:pt>
                <c:pt idx="55">
                  <c:v>-1.9755282581475773</c:v>
                </c:pt>
                <c:pt idx="56">
                  <c:v>-1.9648882429441261</c:v>
                </c:pt>
                <c:pt idx="57">
                  <c:v>-1.9524135262330102</c:v>
                </c:pt>
                <c:pt idx="58">
                  <c:v>-1.9381533400219322</c:v>
                </c:pt>
                <c:pt idx="59">
                  <c:v>-1.9221639627510081</c:v>
                </c:pt>
                <c:pt idx="60">
                  <c:v>-1.9045084971874742</c:v>
                </c:pt>
                <c:pt idx="61">
                  <c:v>-1.885256621387895</c:v>
                </c:pt>
                <c:pt idx="62">
                  <c:v>-1.8644843137107063</c:v>
                </c:pt>
                <c:pt idx="63">
                  <c:v>-1.842273552964345</c:v>
                </c:pt>
                <c:pt idx="64">
                  <c:v>-1.8187119948743451</c:v>
                </c:pt>
                <c:pt idx="65">
                  <c:v>-1.7938926261462371</c:v>
                </c:pt>
                <c:pt idx="66">
                  <c:v>-1.7679133974894989</c:v>
                </c:pt>
                <c:pt idx="67">
                  <c:v>-1.7408768370508581</c:v>
                </c:pt>
                <c:pt idx="68">
                  <c:v>-1.7128896457825369</c:v>
                </c:pt>
                <c:pt idx="69">
                  <c:v>-1.6840622763423394</c:v>
                </c:pt>
                <c:pt idx="70">
                  <c:v>-1.6545084971874742</c:v>
                </c:pt>
                <c:pt idx="71">
                  <c:v>-1.624344943582428</c:v>
                </c:pt>
                <c:pt idx="72">
                  <c:v>-1.5936906572928629</c:v>
                </c:pt>
                <c:pt idx="73">
                  <c:v>-1.5626666167821528</c:v>
                </c:pt>
                <c:pt idx="74">
                  <c:v>-1.531395259764657</c:v>
                </c:pt>
                <c:pt idx="75">
                  <c:v>1.4999999999999996</c:v>
                </c:pt>
                <c:pt idx="76">
                  <c:v>1.5313952597646561</c:v>
                </c:pt>
                <c:pt idx="77">
                  <c:v>1.5626666167821517</c:v>
                </c:pt>
                <c:pt idx="78">
                  <c:v>1.5936906572928617</c:v>
                </c:pt>
                <c:pt idx="79">
                  <c:v>1.6243449435824271</c:v>
                </c:pt>
                <c:pt idx="80">
                  <c:v>1.6545084971874733</c:v>
                </c:pt>
                <c:pt idx="81">
                  <c:v>1.6840622763423383</c:v>
                </c:pt>
                <c:pt idx="82">
                  <c:v>1.7128896457825358</c:v>
                </c:pt>
                <c:pt idx="83">
                  <c:v>1.7408768370508569</c:v>
                </c:pt>
                <c:pt idx="84">
                  <c:v>1.7679133974894978</c:v>
                </c:pt>
                <c:pt idx="85">
                  <c:v>1.793892626146236</c:v>
                </c:pt>
                <c:pt idx="86">
                  <c:v>1.8187119948743442</c:v>
                </c:pt>
                <c:pt idx="87">
                  <c:v>1.8422735529643439</c:v>
                </c:pt>
                <c:pt idx="88">
                  <c:v>1.8644843137107052</c:v>
                </c:pt>
                <c:pt idx="89">
                  <c:v>1.8852566213878943</c:v>
                </c:pt>
                <c:pt idx="90">
                  <c:v>1.9045084971874733</c:v>
                </c:pt>
                <c:pt idx="91">
                  <c:v>1.922163962751007</c:v>
                </c:pt>
                <c:pt idx="92">
                  <c:v>1.9381533400219313</c:v>
                </c:pt>
                <c:pt idx="93">
                  <c:v>1.9524135262330091</c:v>
                </c:pt>
                <c:pt idx="94">
                  <c:v>1.9648882429441252</c:v>
                </c:pt>
                <c:pt idx="95">
                  <c:v>1.9755282581475764</c:v>
                </c:pt>
                <c:pt idx="96">
                  <c:v>1.9842915805643151</c:v>
                </c:pt>
                <c:pt idx="97">
                  <c:v>1.991143625364344</c:v>
                </c:pt>
                <c:pt idx="98">
                  <c:v>1.9960573506572383</c:v>
                </c:pt>
                <c:pt idx="99">
                  <c:v>1.9990133642141354</c:v>
                </c:pt>
              </c:numCache>
            </c:numRef>
          </c:xVal>
          <c:yVal>
            <c:numRef>
              <c:f>Sheet1!$F$2:$F$101</c:f>
              <c:numCache>
                <c:formatCode>General</c:formatCode>
                <c:ptCount val="100"/>
                <c:pt idx="0">
                  <c:v>1</c:v>
                </c:pt>
                <c:pt idx="1">
                  <c:v>1.0313952597646567</c:v>
                </c:pt>
                <c:pt idx="2">
                  <c:v>1.0626666167821521</c:v>
                </c:pt>
                <c:pt idx="3">
                  <c:v>1.0936906572928624</c:v>
                </c:pt>
                <c:pt idx="4">
                  <c:v>1.1243449435824273</c:v>
                </c:pt>
                <c:pt idx="5">
                  <c:v>1.1545084971874737</c:v>
                </c:pt>
                <c:pt idx="6">
                  <c:v>1.184062276342339</c:v>
                </c:pt>
                <c:pt idx="7">
                  <c:v>1.2128896457825364</c:v>
                </c:pt>
                <c:pt idx="8">
                  <c:v>1.2408768370508576</c:v>
                </c:pt>
                <c:pt idx="9">
                  <c:v>1.2679133974894983</c:v>
                </c:pt>
                <c:pt idx="10">
                  <c:v>1.2938926261462367</c:v>
                </c:pt>
                <c:pt idx="11">
                  <c:v>1.3187119948743449</c:v>
                </c:pt>
                <c:pt idx="12">
                  <c:v>1.3422735529643444</c:v>
                </c:pt>
                <c:pt idx="13">
                  <c:v>1.3644843137107059</c:v>
                </c:pt>
                <c:pt idx="14">
                  <c:v>1.3852566213878945</c:v>
                </c:pt>
                <c:pt idx="15">
                  <c:v>1.4045084971874737</c:v>
                </c:pt>
                <c:pt idx="16">
                  <c:v>1.4221639627510076</c:v>
                </c:pt>
                <c:pt idx="17">
                  <c:v>1.4381533400219317</c:v>
                </c:pt>
                <c:pt idx="18">
                  <c:v>1.4524135262330098</c:v>
                </c:pt>
                <c:pt idx="19">
                  <c:v>1.4648882429441257</c:v>
                </c:pt>
                <c:pt idx="20">
                  <c:v>1.4755282581475768</c:v>
                </c:pt>
                <c:pt idx="21">
                  <c:v>1.4842915805643155</c:v>
                </c:pt>
                <c:pt idx="22">
                  <c:v>1.4911436253643444</c:v>
                </c:pt>
                <c:pt idx="23">
                  <c:v>1.496057350657239</c:v>
                </c:pt>
                <c:pt idx="24">
                  <c:v>1.4990133642141359</c:v>
                </c:pt>
                <c:pt idx="25">
                  <c:v>1.5</c:v>
                </c:pt>
                <c:pt idx="26">
                  <c:v>1.4990133642141359</c:v>
                </c:pt>
                <c:pt idx="27">
                  <c:v>1.496057350657239</c:v>
                </c:pt>
                <c:pt idx="28">
                  <c:v>1.4911436253643444</c:v>
                </c:pt>
                <c:pt idx="29">
                  <c:v>1.4842915805643155</c:v>
                </c:pt>
                <c:pt idx="30">
                  <c:v>1.4755282581475768</c:v>
                </c:pt>
                <c:pt idx="31">
                  <c:v>1.4648882429441257</c:v>
                </c:pt>
                <c:pt idx="32">
                  <c:v>1.4524135262330098</c:v>
                </c:pt>
                <c:pt idx="33">
                  <c:v>1.4381533400219317</c:v>
                </c:pt>
                <c:pt idx="34">
                  <c:v>1.4221639627510076</c:v>
                </c:pt>
                <c:pt idx="35">
                  <c:v>1.4045084971874737</c:v>
                </c:pt>
                <c:pt idx="36">
                  <c:v>1.3852566213878945</c:v>
                </c:pt>
                <c:pt idx="37">
                  <c:v>1.3644843137107057</c:v>
                </c:pt>
                <c:pt idx="38">
                  <c:v>1.3422735529643444</c:v>
                </c:pt>
                <c:pt idx="39">
                  <c:v>1.3187119948743447</c:v>
                </c:pt>
                <c:pt idx="40">
                  <c:v>1.2938926261462367</c:v>
                </c:pt>
                <c:pt idx="41">
                  <c:v>1.2679133974894983</c:v>
                </c:pt>
                <c:pt idx="42">
                  <c:v>1.2408768370508576</c:v>
                </c:pt>
                <c:pt idx="43">
                  <c:v>1.2128896457825364</c:v>
                </c:pt>
                <c:pt idx="44">
                  <c:v>1.1840622763423392</c:v>
                </c:pt>
                <c:pt idx="45">
                  <c:v>1.1545084971874737</c:v>
                </c:pt>
                <c:pt idx="46">
                  <c:v>1.1243449435824275</c:v>
                </c:pt>
                <c:pt idx="47">
                  <c:v>1.0936906572928622</c:v>
                </c:pt>
                <c:pt idx="48">
                  <c:v>1.0626666167821524</c:v>
                </c:pt>
                <c:pt idx="49">
                  <c:v>1.0313952597646567</c:v>
                </c:pt>
                <c:pt idx="50">
                  <c:v>-0.99999999999999978</c:v>
                </c:pt>
                <c:pt idx="51">
                  <c:v>-1.0313952597646565</c:v>
                </c:pt>
                <c:pt idx="52">
                  <c:v>-1.0626666167821521</c:v>
                </c:pt>
                <c:pt idx="53">
                  <c:v>-1.093690657292862</c:v>
                </c:pt>
                <c:pt idx="54">
                  <c:v>-1.1243449435824271</c:v>
                </c:pt>
                <c:pt idx="55">
                  <c:v>-1.1545084971874735</c:v>
                </c:pt>
                <c:pt idx="56">
                  <c:v>-1.1840622763423387</c:v>
                </c:pt>
                <c:pt idx="57">
                  <c:v>-1.2128896457825362</c:v>
                </c:pt>
                <c:pt idx="58">
                  <c:v>-1.2408768370508574</c:v>
                </c:pt>
                <c:pt idx="59">
                  <c:v>-1.2679133974894981</c:v>
                </c:pt>
                <c:pt idx="60">
                  <c:v>-1.2938926261462365</c:v>
                </c:pt>
                <c:pt idx="61">
                  <c:v>-1.3187119948743447</c:v>
                </c:pt>
                <c:pt idx="62">
                  <c:v>-1.3422735529643441</c:v>
                </c:pt>
                <c:pt idx="63">
                  <c:v>-1.3644843137107054</c:v>
                </c:pt>
                <c:pt idx="64">
                  <c:v>-1.3852566213878945</c:v>
                </c:pt>
                <c:pt idx="65">
                  <c:v>-1.4045084971874735</c:v>
                </c:pt>
                <c:pt idx="66">
                  <c:v>-1.4221639627510072</c:v>
                </c:pt>
                <c:pt idx="67">
                  <c:v>-1.4381533400219317</c:v>
                </c:pt>
                <c:pt idx="68">
                  <c:v>-1.4524135262330096</c:v>
                </c:pt>
                <c:pt idx="69">
                  <c:v>-1.4648882429441257</c:v>
                </c:pt>
                <c:pt idx="70">
                  <c:v>-1.4755282581475766</c:v>
                </c:pt>
                <c:pt idx="71">
                  <c:v>-1.4842915805643153</c:v>
                </c:pt>
                <c:pt idx="72">
                  <c:v>-1.4911436253643442</c:v>
                </c:pt>
                <c:pt idx="73">
                  <c:v>-1.4960573506572388</c:v>
                </c:pt>
                <c:pt idx="74">
                  <c:v>-1.4990133642141357</c:v>
                </c:pt>
                <c:pt idx="75">
                  <c:v>-1.5000000000000002</c:v>
                </c:pt>
                <c:pt idx="76">
                  <c:v>-1.4990133642141359</c:v>
                </c:pt>
                <c:pt idx="77">
                  <c:v>-1.4960573506572392</c:v>
                </c:pt>
                <c:pt idx="78">
                  <c:v>-1.4911436253643446</c:v>
                </c:pt>
                <c:pt idx="79">
                  <c:v>-1.4842915805643158</c:v>
                </c:pt>
                <c:pt idx="80">
                  <c:v>-1.475528258147577</c:v>
                </c:pt>
                <c:pt idx="81">
                  <c:v>-1.4648882429441259</c:v>
                </c:pt>
                <c:pt idx="82">
                  <c:v>-1.45241352623301</c:v>
                </c:pt>
                <c:pt idx="83">
                  <c:v>-1.4381533400219322</c:v>
                </c:pt>
                <c:pt idx="84">
                  <c:v>-1.4221639627510076</c:v>
                </c:pt>
                <c:pt idx="85">
                  <c:v>-1.4045084971874739</c:v>
                </c:pt>
                <c:pt idx="86">
                  <c:v>-1.385256621387895</c:v>
                </c:pt>
                <c:pt idx="87">
                  <c:v>-1.3644843137107059</c:v>
                </c:pt>
                <c:pt idx="88">
                  <c:v>-1.3422735529643446</c:v>
                </c:pt>
                <c:pt idx="89">
                  <c:v>-1.3187119948743451</c:v>
                </c:pt>
                <c:pt idx="90">
                  <c:v>-1.2938926261462369</c:v>
                </c:pt>
                <c:pt idx="91">
                  <c:v>-1.2679133974894987</c:v>
                </c:pt>
                <c:pt idx="92">
                  <c:v>-1.2408768370508578</c:v>
                </c:pt>
                <c:pt idx="93">
                  <c:v>-1.2128896457825367</c:v>
                </c:pt>
                <c:pt idx="94">
                  <c:v>-1.1840622763423392</c:v>
                </c:pt>
                <c:pt idx="95">
                  <c:v>-1.1545084971874739</c:v>
                </c:pt>
                <c:pt idx="96">
                  <c:v>-1.124344943582428</c:v>
                </c:pt>
                <c:pt idx="97">
                  <c:v>-1.0936906572928626</c:v>
                </c:pt>
                <c:pt idx="98">
                  <c:v>-1.0626666167821526</c:v>
                </c:pt>
                <c:pt idx="99">
                  <c:v>-1.031395259764657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D7-4A1B-9FAE-CB6FEB2A6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1323696"/>
        <c:axId val="1327864608"/>
      </c:scatterChart>
      <c:valAx>
        <c:axId val="133132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864608"/>
        <c:crosses val="autoZero"/>
        <c:crossBetween val="midCat"/>
      </c:valAx>
      <c:valAx>
        <c:axId val="132786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323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228600</xdr:colOff>
      <xdr:row>13</xdr:row>
      <xdr:rowOff>19050</xdr:rowOff>
    </xdr:from>
    <xdr:to>
      <xdr:col>16</xdr:col>
      <xdr:colOff>323850</xdr:colOff>
      <xdr:row>28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8B3F6F-FF5C-9862-4303-43E84892F0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15E74-8EA2-4717-B366-82505CCF1A9C}">
  <dimension ref="A1:W101"/>
  <sheetViews>
    <sheetView tabSelected="1" workbookViewId="0">
      <selection activeCell="A2" sqref="A2:A101"/>
    </sheetView>
  </sheetViews>
  <sheetFormatPr defaultRowHeight="14.4" x14ac:dyDescent="0.3"/>
  <cols>
    <col min="4" max="4" width="22.21875" customWidth="1"/>
    <col min="13" max="13" width="12" bestFit="1" customWidth="1"/>
  </cols>
  <sheetData>
    <row r="1" spans="1:23" x14ac:dyDescent="0.3">
      <c r="A1" t="s">
        <v>11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R1" t="s">
        <v>0</v>
      </c>
      <c r="S1" t="s">
        <v>1</v>
      </c>
      <c r="T1" t="s">
        <v>2</v>
      </c>
      <c r="U1" t="s">
        <v>3</v>
      </c>
      <c r="V1" t="s">
        <v>4</v>
      </c>
      <c r="W1" t="s">
        <v>5</v>
      </c>
    </row>
    <row r="2" spans="1:23" x14ac:dyDescent="0.3">
      <c r="A2">
        <v>1</v>
      </c>
      <c r="B2">
        <v>1</v>
      </c>
      <c r="C2">
        <v>0</v>
      </c>
      <c r="D2">
        <f>(C2-U$2*(B2-1))/U$2*(PI()/2)+PI()/2*(B2-1)</f>
        <v>0</v>
      </c>
      <c r="E2">
        <f>$V$2+(COS(PI()/2*($B2-1))-SIN(PI()/2*($B2-1)))*$R$2/2-($T$2*-(COS(PI()/2*($B2-1))-SIN(PI()/2*($B2-1)))) +($T$2*COS(D2))</f>
        <v>2</v>
      </c>
      <c r="F2">
        <f>W$2+(COS(PI()/2*($B2-1))+SIN(PI()/2*($B2-1)))*S$2/2 - ($T$2*-(COS(PI()/2*($B2-1))+SIN(PI()/2*($B2-1)))) + ($T$2*SIN($D2))</f>
        <v>1</v>
      </c>
      <c r="R2">
        <f>2</f>
        <v>2</v>
      </c>
      <c r="S2">
        <f>1</f>
        <v>1</v>
      </c>
      <c r="T2">
        <f>MIN(R2,S2)/2</f>
        <v>0.5</v>
      </c>
      <c r="U2">
        <v>25</v>
      </c>
      <c r="V2">
        <v>0</v>
      </c>
      <c r="W2">
        <v>0</v>
      </c>
    </row>
    <row r="3" spans="1:23" x14ac:dyDescent="0.3">
      <c r="A3">
        <v>2</v>
      </c>
      <c r="B3">
        <v>1</v>
      </c>
      <c r="C3">
        <v>1</v>
      </c>
      <c r="D3">
        <f>(C3-U$2*(B3-1))/U$2*(PI()/2)+PI()/2*(B3-1)</f>
        <v>6.2831853071795868E-2</v>
      </c>
      <c r="E3">
        <f>$V$2+(COS(PI()/2*($B3-1))-SIN(PI()/2*($B3-1)))*$R$2/2-($T$2*-(COS(PI()/2*($B3-1))-SIN(PI()/2*($B3-1)))) +($T$2*COS(D3))</f>
        <v>1.9990133642141359</v>
      </c>
      <c r="F3">
        <f>W$2+(COS(PI()/2*($B3-1))+SIN(PI()/2*($B3-1)))*S$2/2 - ($T$2*-(COS(PI()/2*($B3-1))+SIN(PI()/2*($B3-1)))) + ($T$2*SIN($D3))</f>
        <v>1.0313952597646567</v>
      </c>
    </row>
    <row r="4" spans="1:23" x14ac:dyDescent="0.3">
      <c r="A4">
        <v>3</v>
      </c>
      <c r="B4">
        <v>1</v>
      </c>
      <c r="C4">
        <v>2</v>
      </c>
      <c r="D4">
        <f>(C4-U$2*(B4-1))/U$2*(PI()/2)+PI()/2*(B4-1)</f>
        <v>0.12566370614359174</v>
      </c>
      <c r="E4">
        <f>$V$2+(COS(PI()/2*($B4-1))-SIN(PI()/2*($B4-1)))*$R$2/2-($T$2*-(COS(PI()/2*($B4-1))-SIN(PI()/2*($B4-1)))) +($T$2*COS(D4))</f>
        <v>1.996057350657239</v>
      </c>
      <c r="F4">
        <f>W$2+(COS(PI()/2*($B4-1))+SIN(PI()/2*($B4-1)))*S$2/2 - ($T$2*-(COS(PI()/2*($B4-1))+SIN(PI()/2*($B4-1)))) + ($T$2*SIN($D4))</f>
        <v>1.0626666167821521</v>
      </c>
    </row>
    <row r="5" spans="1:23" x14ac:dyDescent="0.3">
      <c r="A5">
        <v>4</v>
      </c>
      <c r="B5">
        <v>1</v>
      </c>
      <c r="C5">
        <v>3</v>
      </c>
      <c r="D5">
        <f>(C5-U$2*(B5-1))/U$2*(PI()/2)+PI()/2*(B5-1)</f>
        <v>0.18849555921538758</v>
      </c>
      <c r="E5">
        <f>$V$2+(COS(PI()/2*($B5-1))-SIN(PI()/2*($B5-1)))*$R$2/2-($T$2*-(COS(PI()/2*($B5-1))-SIN(PI()/2*($B5-1)))) +($T$2*COS(D5))</f>
        <v>1.9911436253643444</v>
      </c>
      <c r="F5">
        <f>W$2+(COS(PI()/2*($B5-1))+SIN(PI()/2*($B5-1)))*S$2/2 - ($T$2*-(COS(PI()/2*($B5-1))+SIN(PI()/2*($B5-1)))) + ($T$2*SIN($D5))</f>
        <v>1.0936906572928624</v>
      </c>
    </row>
    <row r="6" spans="1:23" x14ac:dyDescent="0.3">
      <c r="A6">
        <v>5</v>
      </c>
      <c r="B6">
        <v>1</v>
      </c>
      <c r="C6">
        <v>4</v>
      </c>
      <c r="D6">
        <f>(C6-U$2*(B6-1))/U$2*(PI()/2)+PI()/2*(B6-1)</f>
        <v>0.25132741228718347</v>
      </c>
      <c r="E6">
        <f>$V$2+(COS(PI()/2*($B6-1))-SIN(PI()/2*($B6-1)))*$R$2/2-($T$2*-(COS(PI()/2*($B6-1))-SIN(PI()/2*($B6-1)))) +($T$2*COS(D6))</f>
        <v>1.9842915805643155</v>
      </c>
      <c r="F6">
        <f>W$2+(COS(PI()/2*($B6-1))+SIN(PI()/2*($B6-1)))*S$2/2 - ($T$2*-(COS(PI()/2*($B6-1))+SIN(PI()/2*($B6-1)))) + ($T$2*SIN($D6))</f>
        <v>1.1243449435824273</v>
      </c>
    </row>
    <row r="7" spans="1:23" x14ac:dyDescent="0.3">
      <c r="A7">
        <v>6</v>
      </c>
      <c r="B7">
        <v>1</v>
      </c>
      <c r="C7">
        <v>5</v>
      </c>
      <c r="D7">
        <f>(C7-U$2*(B7-1))/U$2*(PI()/2)+PI()/2*(B7-1)</f>
        <v>0.31415926535897931</v>
      </c>
      <c r="E7">
        <f>$V$2+(COS(PI()/2*($B7-1))-SIN(PI()/2*($B7-1)))*$R$2/2-($T$2*-(COS(PI()/2*($B7-1))-SIN(PI()/2*($B7-1)))) +($T$2*COS(D7))</f>
        <v>1.9755282581475768</v>
      </c>
      <c r="F7">
        <f>W$2+(COS(PI()/2*($B7-1))+SIN(PI()/2*($B7-1)))*S$2/2 - ($T$2*-(COS(PI()/2*($B7-1))+SIN(PI()/2*($B7-1)))) + ($T$2*SIN($D7))</f>
        <v>1.1545084971874737</v>
      </c>
    </row>
    <row r="8" spans="1:23" x14ac:dyDescent="0.3">
      <c r="A8">
        <v>7</v>
      </c>
      <c r="B8">
        <v>1</v>
      </c>
      <c r="C8">
        <v>6</v>
      </c>
      <c r="D8">
        <f>(C8-U$2*(B8-1))/U$2*(PI()/2)+PI()/2*(B8-1)</f>
        <v>0.37699111843077515</v>
      </c>
      <c r="E8">
        <f>$V$2+(COS(PI()/2*($B8-1))-SIN(PI()/2*($B8-1)))*$R$2/2-($T$2*-(COS(PI()/2*($B8-1))-SIN(PI()/2*($B8-1)))) +($T$2*COS(D8))</f>
        <v>1.9648882429441257</v>
      </c>
      <c r="F8">
        <f>W$2+(COS(PI()/2*($B8-1))+SIN(PI()/2*($B8-1)))*S$2/2 - ($T$2*-(COS(PI()/2*($B8-1))+SIN(PI()/2*($B8-1)))) + ($T$2*SIN($D8))</f>
        <v>1.184062276342339</v>
      </c>
    </row>
    <row r="9" spans="1:23" x14ac:dyDescent="0.3">
      <c r="A9">
        <v>8</v>
      </c>
      <c r="B9">
        <v>1</v>
      </c>
      <c r="C9">
        <v>7</v>
      </c>
      <c r="D9">
        <f>(C9-U$2*(B9-1))/U$2*(PI()/2)+PI()/2*(B9-1)</f>
        <v>0.4398229715025711</v>
      </c>
      <c r="E9">
        <f>$V$2+(COS(PI()/2*($B9-1))-SIN(PI()/2*($B9-1)))*$R$2/2-($T$2*-(COS(PI()/2*($B9-1))-SIN(PI()/2*($B9-1)))) +($T$2*COS(D9))</f>
        <v>1.9524135262330098</v>
      </c>
      <c r="F9">
        <f>W$2+(COS(PI()/2*($B9-1))+SIN(PI()/2*($B9-1)))*S$2/2 - ($T$2*-(COS(PI()/2*($B9-1))+SIN(PI()/2*($B9-1)))) + ($T$2*SIN($D9))</f>
        <v>1.2128896457825364</v>
      </c>
    </row>
    <row r="10" spans="1:23" x14ac:dyDescent="0.3">
      <c r="A10">
        <v>9</v>
      </c>
      <c r="B10">
        <v>1</v>
      </c>
      <c r="C10">
        <v>8</v>
      </c>
      <c r="D10">
        <f>(C10-U$2*(B10-1))/U$2*(PI()/2)+PI()/2*(B10-1)</f>
        <v>0.50265482457436694</v>
      </c>
      <c r="E10">
        <f>$V$2+(COS(PI()/2*($B10-1))-SIN(PI()/2*($B10-1)))*$R$2/2-($T$2*-(COS(PI()/2*($B10-1))-SIN(PI()/2*($B10-1)))) +($T$2*COS(D10))</f>
        <v>1.9381533400219317</v>
      </c>
      <c r="F10">
        <f>W$2+(COS(PI()/2*($B10-1))+SIN(PI()/2*($B10-1)))*S$2/2 - ($T$2*-(COS(PI()/2*($B10-1))+SIN(PI()/2*($B10-1)))) + ($T$2*SIN($D10))</f>
        <v>1.2408768370508576</v>
      </c>
    </row>
    <row r="11" spans="1:23" x14ac:dyDescent="0.3">
      <c r="A11">
        <v>10</v>
      </c>
      <c r="B11">
        <v>1</v>
      </c>
      <c r="C11">
        <v>9</v>
      </c>
      <c r="D11">
        <f>(C11-U$2*(B11-1))/U$2*(PI()/2)+PI()/2*(B11-1)</f>
        <v>0.56548667764616278</v>
      </c>
      <c r="E11">
        <f>$V$2+(COS(PI()/2*($B11-1))-SIN(PI()/2*($B11-1)))*$R$2/2-($T$2*-(COS(PI()/2*($B11-1))-SIN(PI()/2*($B11-1)))) +($T$2*COS(D11))</f>
        <v>1.9221639627510076</v>
      </c>
      <c r="F11">
        <f>W$2+(COS(PI()/2*($B11-1))+SIN(PI()/2*($B11-1)))*S$2/2 - ($T$2*-(COS(PI()/2*($B11-1))+SIN(PI()/2*($B11-1)))) + ($T$2*SIN($D11))</f>
        <v>1.2679133974894983</v>
      </c>
    </row>
    <row r="12" spans="1:23" x14ac:dyDescent="0.3">
      <c r="A12">
        <v>11</v>
      </c>
      <c r="B12">
        <v>1</v>
      </c>
      <c r="C12">
        <v>10</v>
      </c>
      <c r="D12">
        <f>(C12-U$2*(B12-1))/U$2*(PI()/2)+PI()/2*(B12-1)</f>
        <v>0.62831853071795862</v>
      </c>
      <c r="E12">
        <f>$V$2+(COS(PI()/2*($B12-1))-SIN(PI()/2*($B12-1)))*$R$2/2-($T$2*-(COS(PI()/2*($B12-1))-SIN(PI()/2*($B12-1)))) +($T$2*COS(D12))</f>
        <v>1.9045084971874737</v>
      </c>
      <c r="F12">
        <f>W$2+(COS(PI()/2*($B12-1))+SIN(PI()/2*($B12-1)))*S$2/2 - ($T$2*-(COS(PI()/2*($B12-1))+SIN(PI()/2*($B12-1)))) + ($T$2*SIN($D12))</f>
        <v>1.2938926261462367</v>
      </c>
    </row>
    <row r="13" spans="1:23" x14ac:dyDescent="0.3">
      <c r="A13">
        <v>12</v>
      </c>
      <c r="B13">
        <v>1</v>
      </c>
      <c r="C13">
        <v>11</v>
      </c>
      <c r="D13">
        <f>(C13-U$2*(B13-1))/U$2*(PI()/2)+PI()/2*(B13-1)</f>
        <v>0.69115038378975446</v>
      </c>
      <c r="E13">
        <f>$V$2+(COS(PI()/2*($B13-1))-SIN(PI()/2*($B13-1)))*$R$2/2-($T$2*-(COS(PI()/2*($B13-1))-SIN(PI()/2*($B13-1)))) +($T$2*COS(D13))</f>
        <v>1.8852566213878945</v>
      </c>
      <c r="F13">
        <f>W$2+(COS(PI()/2*($B13-1))+SIN(PI()/2*($B13-1)))*S$2/2 - ($T$2*-(COS(PI()/2*($B13-1))+SIN(PI()/2*($B13-1)))) + ($T$2*SIN($D13))</f>
        <v>1.3187119948743449</v>
      </c>
    </row>
    <row r="14" spans="1:23" x14ac:dyDescent="0.3">
      <c r="A14">
        <v>13</v>
      </c>
      <c r="B14">
        <v>1</v>
      </c>
      <c r="C14">
        <v>12</v>
      </c>
      <c r="D14">
        <f>(C14-U$2*(B14-1))/U$2*(PI()/2)+PI()/2*(B14-1)</f>
        <v>0.7539822368615503</v>
      </c>
      <c r="E14">
        <f>$V$2+(COS(PI()/2*($B14-1))-SIN(PI()/2*($B14-1)))*$R$2/2-($T$2*-(COS(PI()/2*($B14-1))-SIN(PI()/2*($B14-1)))) +($T$2*COS(D14))</f>
        <v>1.8644843137107059</v>
      </c>
      <c r="F14">
        <f>W$2+(COS(PI()/2*($B14-1))+SIN(PI()/2*($B14-1)))*S$2/2 - ($T$2*-(COS(PI()/2*($B14-1))+SIN(PI()/2*($B14-1)))) + ($T$2*SIN($D14))</f>
        <v>1.3422735529643444</v>
      </c>
    </row>
    <row r="15" spans="1:23" x14ac:dyDescent="0.3">
      <c r="A15">
        <v>14</v>
      </c>
      <c r="B15">
        <v>1</v>
      </c>
      <c r="C15">
        <v>13</v>
      </c>
      <c r="D15">
        <f>(C15-U$2*(B15-1))/U$2*(PI()/2)+PI()/2*(B15-1)</f>
        <v>0.81681408993334625</v>
      </c>
      <c r="E15">
        <f>$V$2+(COS(PI()/2*($B15-1))-SIN(PI()/2*($B15-1)))*$R$2/2-($T$2*-(COS(PI()/2*($B15-1))-SIN(PI()/2*($B15-1)))) +($T$2*COS(D15))</f>
        <v>1.8422735529643444</v>
      </c>
      <c r="F15">
        <f>W$2+(COS(PI()/2*($B15-1))+SIN(PI()/2*($B15-1)))*S$2/2 - ($T$2*-(COS(PI()/2*($B15-1))+SIN(PI()/2*($B15-1)))) + ($T$2*SIN($D15))</f>
        <v>1.3644843137107059</v>
      </c>
    </row>
    <row r="16" spans="1:23" x14ac:dyDescent="0.3">
      <c r="A16">
        <v>15</v>
      </c>
      <c r="B16">
        <v>1</v>
      </c>
      <c r="C16">
        <v>14</v>
      </c>
      <c r="D16">
        <f>(C16-U$2*(B16-1))/U$2*(PI()/2)+PI()/2*(B16-1)</f>
        <v>0.87964594300514221</v>
      </c>
      <c r="E16">
        <f>$V$2+(COS(PI()/2*($B16-1))-SIN(PI()/2*($B16-1)))*$R$2/2-($T$2*-(COS(PI()/2*($B16-1))-SIN(PI()/2*($B16-1)))) +($T$2*COS(D16))</f>
        <v>1.8187119948743449</v>
      </c>
      <c r="F16">
        <f>W$2+(COS(PI()/2*($B16-1))+SIN(PI()/2*($B16-1)))*S$2/2 - ($T$2*-(COS(PI()/2*($B16-1))+SIN(PI()/2*($B16-1)))) + ($T$2*SIN($D16))</f>
        <v>1.3852566213878945</v>
      </c>
    </row>
    <row r="17" spans="1:6" x14ac:dyDescent="0.3">
      <c r="A17">
        <v>16</v>
      </c>
      <c r="B17">
        <v>1</v>
      </c>
      <c r="C17">
        <v>15</v>
      </c>
      <c r="D17">
        <f>(C17-U$2*(B17-1))/U$2*(PI()/2)+PI()/2*(B17-1)</f>
        <v>0.94247779607693793</v>
      </c>
      <c r="E17">
        <f>$V$2+(COS(PI()/2*($B17-1))-SIN(PI()/2*($B17-1)))*$R$2/2-($T$2*-(COS(PI()/2*($B17-1))-SIN(PI()/2*($B17-1)))) +($T$2*COS(D17))</f>
        <v>1.7938926261462367</v>
      </c>
      <c r="F17">
        <f>W$2+(COS(PI()/2*($B17-1))+SIN(PI()/2*($B17-1)))*S$2/2 - ($T$2*-(COS(PI()/2*($B17-1))+SIN(PI()/2*($B17-1)))) + ($T$2*SIN($D17))</f>
        <v>1.4045084971874737</v>
      </c>
    </row>
    <row r="18" spans="1:6" x14ac:dyDescent="0.3">
      <c r="A18">
        <v>17</v>
      </c>
      <c r="B18">
        <v>1</v>
      </c>
      <c r="C18">
        <v>16</v>
      </c>
      <c r="D18">
        <f>(C18-U$2*(B18-1))/U$2*(PI()/2)+PI()/2*(B18-1)</f>
        <v>1.0053096491487339</v>
      </c>
      <c r="E18">
        <f>$V$2+(COS(PI()/2*($B18-1))-SIN(PI()/2*($B18-1)))*$R$2/2-($T$2*-(COS(PI()/2*($B18-1))-SIN(PI()/2*($B18-1)))) +($T$2*COS(D18))</f>
        <v>1.7679133974894983</v>
      </c>
      <c r="F18">
        <f>W$2+(COS(PI()/2*($B18-1))+SIN(PI()/2*($B18-1)))*S$2/2 - ($T$2*-(COS(PI()/2*($B18-1))+SIN(PI()/2*($B18-1)))) + ($T$2*SIN($D18))</f>
        <v>1.4221639627510076</v>
      </c>
    </row>
    <row r="19" spans="1:6" x14ac:dyDescent="0.3">
      <c r="A19">
        <v>18</v>
      </c>
      <c r="B19">
        <v>1</v>
      </c>
      <c r="C19">
        <v>17</v>
      </c>
      <c r="D19">
        <f>(C19-U$2*(B19-1))/U$2*(PI()/2)+PI()/2*(B19-1)</f>
        <v>1.0681415022205298</v>
      </c>
      <c r="E19">
        <f>$V$2+(COS(PI()/2*($B19-1))-SIN(PI()/2*($B19-1)))*$R$2/2-($T$2*-(COS(PI()/2*($B19-1))-SIN(PI()/2*($B19-1)))) +($T$2*COS(D19))</f>
        <v>1.7408768370508576</v>
      </c>
      <c r="F19">
        <f>W$2+(COS(PI()/2*($B19-1))+SIN(PI()/2*($B19-1)))*S$2/2 - ($T$2*-(COS(PI()/2*($B19-1))+SIN(PI()/2*($B19-1)))) + ($T$2*SIN($D19))</f>
        <v>1.4381533400219317</v>
      </c>
    </row>
    <row r="20" spans="1:6" x14ac:dyDescent="0.3">
      <c r="A20">
        <v>19</v>
      </c>
      <c r="B20">
        <v>1</v>
      </c>
      <c r="C20">
        <v>18</v>
      </c>
      <c r="D20">
        <f>(C20-U$2*(B20-1))/U$2*(PI()/2)+PI()/2*(B20-1)</f>
        <v>1.1309733552923256</v>
      </c>
      <c r="E20">
        <f>$V$2+(COS(PI()/2*($B20-1))-SIN(PI()/2*($B20-1)))*$R$2/2-($T$2*-(COS(PI()/2*($B20-1))-SIN(PI()/2*($B20-1)))) +($T$2*COS(D20))</f>
        <v>1.7128896457825364</v>
      </c>
      <c r="F20">
        <f>W$2+(COS(PI()/2*($B20-1))+SIN(PI()/2*($B20-1)))*S$2/2 - ($T$2*-(COS(PI()/2*($B20-1))+SIN(PI()/2*($B20-1)))) + ($T$2*SIN($D20))</f>
        <v>1.4524135262330098</v>
      </c>
    </row>
    <row r="21" spans="1:6" x14ac:dyDescent="0.3">
      <c r="A21">
        <v>20</v>
      </c>
      <c r="B21">
        <v>1</v>
      </c>
      <c r="C21">
        <v>19</v>
      </c>
      <c r="D21">
        <f>(C21-U$2*(B21-1))/U$2*(PI()/2)+PI()/2*(B21-1)</f>
        <v>1.1938052083641213</v>
      </c>
      <c r="E21">
        <f>$V$2+(COS(PI()/2*($B21-1))-SIN(PI()/2*($B21-1)))*$R$2/2-($T$2*-(COS(PI()/2*($B21-1))-SIN(PI()/2*($B21-1)))) +($T$2*COS(D21))</f>
        <v>1.684062276342339</v>
      </c>
      <c r="F21">
        <f>W$2+(COS(PI()/2*($B21-1))+SIN(PI()/2*($B21-1)))*S$2/2 - ($T$2*-(COS(PI()/2*($B21-1))+SIN(PI()/2*($B21-1)))) + ($T$2*SIN($D21))</f>
        <v>1.4648882429441257</v>
      </c>
    </row>
    <row r="22" spans="1:6" x14ac:dyDescent="0.3">
      <c r="A22">
        <v>21</v>
      </c>
      <c r="B22">
        <v>1</v>
      </c>
      <c r="C22">
        <v>20</v>
      </c>
      <c r="D22">
        <f>(C22-U$2*(B22-1))/U$2*(PI()/2)+PI()/2*(B22-1)</f>
        <v>1.2566370614359172</v>
      </c>
      <c r="E22">
        <f>$V$2+(COS(PI()/2*($B22-1))-SIN(PI()/2*($B22-1)))*$R$2/2-($T$2*-(COS(PI()/2*($B22-1))-SIN(PI()/2*($B22-1)))) +($T$2*COS(D22))</f>
        <v>1.6545084971874737</v>
      </c>
      <c r="F22">
        <f>W$2+(COS(PI()/2*($B22-1))+SIN(PI()/2*($B22-1)))*S$2/2 - ($T$2*-(COS(PI()/2*($B22-1))+SIN(PI()/2*($B22-1)))) + ($T$2*SIN($D22))</f>
        <v>1.4755282581475768</v>
      </c>
    </row>
    <row r="23" spans="1:6" x14ac:dyDescent="0.3">
      <c r="A23">
        <v>22</v>
      </c>
      <c r="B23">
        <v>1</v>
      </c>
      <c r="C23">
        <v>21</v>
      </c>
      <c r="D23">
        <f>(C23-U$2*(B23-1))/U$2*(PI()/2)+PI()/2*(B23-1)</f>
        <v>1.319468914507713</v>
      </c>
      <c r="E23">
        <f>$V$2+(COS(PI()/2*($B23-1))-SIN(PI()/2*($B23-1)))*$R$2/2-($T$2*-(COS(PI()/2*($B23-1))-SIN(PI()/2*($B23-1)))) +($T$2*COS(D23))</f>
        <v>1.6243449435824275</v>
      </c>
      <c r="F23">
        <f>W$2+(COS(PI()/2*($B23-1))+SIN(PI()/2*($B23-1)))*S$2/2 - ($T$2*-(COS(PI()/2*($B23-1))+SIN(PI()/2*($B23-1)))) + ($T$2*SIN($D23))</f>
        <v>1.4842915805643155</v>
      </c>
    </row>
    <row r="24" spans="1:6" x14ac:dyDescent="0.3">
      <c r="A24">
        <v>23</v>
      </c>
      <c r="B24">
        <v>1</v>
      </c>
      <c r="C24">
        <v>22</v>
      </c>
      <c r="D24">
        <f>(C24-U$2*(B24-1))/U$2*(PI()/2)+PI()/2*(B24-1)</f>
        <v>1.3823007675795089</v>
      </c>
      <c r="E24">
        <f>$V$2+(COS(PI()/2*($B24-1))-SIN(PI()/2*($B24-1)))*$R$2/2-($T$2*-(COS(PI()/2*($B24-1))-SIN(PI()/2*($B24-1)))) +($T$2*COS(D24))</f>
        <v>1.5936906572928624</v>
      </c>
      <c r="F24">
        <f>W$2+(COS(PI()/2*($B24-1))+SIN(PI()/2*($B24-1)))*S$2/2 - ($T$2*-(COS(PI()/2*($B24-1))+SIN(PI()/2*($B24-1)))) + ($T$2*SIN($D24))</f>
        <v>1.4911436253643444</v>
      </c>
    </row>
    <row r="25" spans="1:6" x14ac:dyDescent="0.3">
      <c r="A25">
        <v>24</v>
      </c>
      <c r="B25">
        <v>1</v>
      </c>
      <c r="C25">
        <v>23</v>
      </c>
      <c r="D25">
        <f>(C25-U$2*(B25-1))/U$2*(PI()/2)+PI()/2*(B25-1)</f>
        <v>1.4451326206513049</v>
      </c>
      <c r="E25">
        <f>$V$2+(COS(PI()/2*($B25-1))-SIN(PI()/2*($B25-1)))*$R$2/2-($T$2*-(COS(PI()/2*($B25-1))-SIN(PI()/2*($B25-1)))) +($T$2*COS(D25))</f>
        <v>1.5626666167821521</v>
      </c>
      <c r="F25">
        <f>W$2+(COS(PI()/2*($B25-1))+SIN(PI()/2*($B25-1)))*S$2/2 - ($T$2*-(COS(PI()/2*($B25-1))+SIN(PI()/2*($B25-1)))) + ($T$2*SIN($D25))</f>
        <v>1.496057350657239</v>
      </c>
    </row>
    <row r="26" spans="1:6" x14ac:dyDescent="0.3">
      <c r="A26">
        <v>25</v>
      </c>
      <c r="B26">
        <v>1</v>
      </c>
      <c r="C26">
        <v>24</v>
      </c>
      <c r="D26">
        <f>(C26-U$2*(B26-1))/U$2*(PI()/2)+PI()/2*(B26-1)</f>
        <v>1.5079644737231006</v>
      </c>
      <c r="E26">
        <f>$V$2+(COS(PI()/2*($B26-1))-SIN(PI()/2*($B26-1)))*$R$2/2-($T$2*-(COS(PI()/2*($B26-1))-SIN(PI()/2*($B26-1)))) +($T$2*COS(D26))</f>
        <v>1.5313952597646567</v>
      </c>
      <c r="F26">
        <f>W$2+(COS(PI()/2*($B26-1))+SIN(PI()/2*($B26-1)))*S$2/2 - ($T$2*-(COS(PI()/2*($B26-1))+SIN(PI()/2*($B26-1)))) + ($T$2*SIN($D26))</f>
        <v>1.4990133642141359</v>
      </c>
    </row>
    <row r="27" spans="1:6" x14ac:dyDescent="0.3">
      <c r="A27">
        <v>26</v>
      </c>
      <c r="B27">
        <v>2</v>
      </c>
      <c r="C27">
        <v>25</v>
      </c>
      <c r="D27">
        <f>(C27-U$2*(B27-1))/U$2*(PI()/2)+PI()/2*(B27-1)</f>
        <v>1.5707963267948966</v>
      </c>
      <c r="E27">
        <f>$V$2+(COS(PI()/2*($B27-1))-SIN(PI()/2*($B27-1)))*$R$2/2-($T$2*-(COS(PI()/2*($B27-1))-SIN(PI()/2*($B27-1)))) +($T$2*COS(D27))</f>
        <v>-1.4999999999999998</v>
      </c>
      <c r="F27">
        <f>W$2+(COS(PI()/2*($B27-1))+SIN(PI()/2*($B27-1)))*S$2/2 - ($T$2*-(COS(PI()/2*($B27-1))+SIN(PI()/2*($B27-1)))) + ($T$2*SIN($D27))</f>
        <v>1.5</v>
      </c>
    </row>
    <row r="28" spans="1:6" x14ac:dyDescent="0.3">
      <c r="A28">
        <v>27</v>
      </c>
      <c r="B28">
        <v>2</v>
      </c>
      <c r="C28">
        <v>26</v>
      </c>
      <c r="D28">
        <f>(C28-U$2*(B28-1))/U$2*(PI()/2)+PI()/2*(B28-1)</f>
        <v>1.6336281798666925</v>
      </c>
      <c r="E28">
        <f>$V$2+(COS(PI()/2*($B28-1))-SIN(PI()/2*($B28-1)))*$R$2/2-($T$2*-(COS(PI()/2*($B28-1))-SIN(PI()/2*($B28-1)))) +($T$2*COS(D28))</f>
        <v>-1.5313952597646565</v>
      </c>
      <c r="F28">
        <f>W$2+(COS(PI()/2*($B28-1))+SIN(PI()/2*($B28-1)))*S$2/2 - ($T$2*-(COS(PI()/2*($B28-1))+SIN(PI()/2*($B28-1)))) + ($T$2*SIN($D28))</f>
        <v>1.4990133642141359</v>
      </c>
    </row>
    <row r="29" spans="1:6" x14ac:dyDescent="0.3">
      <c r="A29">
        <v>28</v>
      </c>
      <c r="B29">
        <v>2</v>
      </c>
      <c r="C29">
        <v>27</v>
      </c>
      <c r="D29">
        <f>(C29-U$2*(B29-1))/U$2*(PI()/2)+PI()/2*(B29-1)</f>
        <v>1.6964600329384882</v>
      </c>
      <c r="E29">
        <f>$V$2+(COS(PI()/2*($B29-1))-SIN(PI()/2*($B29-1)))*$R$2/2-($T$2*-(COS(PI()/2*($B29-1))-SIN(PI()/2*($B29-1)))) +($T$2*COS(D29))</f>
        <v>-1.5626666167821519</v>
      </c>
      <c r="F29">
        <f>W$2+(COS(PI()/2*($B29-1))+SIN(PI()/2*($B29-1)))*S$2/2 - ($T$2*-(COS(PI()/2*($B29-1))+SIN(PI()/2*($B29-1)))) + ($T$2*SIN($D29))</f>
        <v>1.496057350657239</v>
      </c>
    </row>
    <row r="30" spans="1:6" x14ac:dyDescent="0.3">
      <c r="A30">
        <v>29</v>
      </c>
      <c r="B30">
        <v>2</v>
      </c>
      <c r="C30">
        <v>28</v>
      </c>
      <c r="D30">
        <f>(C30-U$2*(B30-1))/U$2*(PI()/2)+PI()/2*(B30-1)</f>
        <v>1.7592918860102842</v>
      </c>
      <c r="E30">
        <f>$V$2+(COS(PI()/2*($B30-1))-SIN(PI()/2*($B30-1)))*$R$2/2-($T$2*-(COS(PI()/2*($B30-1))-SIN(PI()/2*($B30-1)))) +($T$2*COS(D30))</f>
        <v>-1.593690657292862</v>
      </c>
      <c r="F30">
        <f>W$2+(COS(PI()/2*($B30-1))+SIN(PI()/2*($B30-1)))*S$2/2 - ($T$2*-(COS(PI()/2*($B30-1))+SIN(PI()/2*($B30-1)))) + ($T$2*SIN($D30))</f>
        <v>1.4911436253643444</v>
      </c>
    </row>
    <row r="31" spans="1:6" x14ac:dyDescent="0.3">
      <c r="A31">
        <v>30</v>
      </c>
      <c r="B31">
        <v>2</v>
      </c>
      <c r="C31">
        <v>29</v>
      </c>
      <c r="D31">
        <f>(C31-U$2*(B31-1))/U$2*(PI()/2)+PI()/2*(B31-1)</f>
        <v>1.8221237390820799</v>
      </c>
      <c r="E31">
        <f>$V$2+(COS(PI()/2*($B31-1))-SIN(PI()/2*($B31-1)))*$R$2/2-($T$2*-(COS(PI()/2*($B31-1))-SIN(PI()/2*($B31-1)))) +($T$2*COS(D31))</f>
        <v>-1.6243449435824271</v>
      </c>
      <c r="F31">
        <f>W$2+(COS(PI()/2*($B31-1))+SIN(PI()/2*($B31-1)))*S$2/2 - ($T$2*-(COS(PI()/2*($B31-1))+SIN(PI()/2*($B31-1)))) + ($T$2*SIN($D31))</f>
        <v>1.4842915805643155</v>
      </c>
    </row>
    <row r="32" spans="1:6" x14ac:dyDescent="0.3">
      <c r="A32">
        <v>31</v>
      </c>
      <c r="B32">
        <v>2</v>
      </c>
      <c r="C32">
        <v>30</v>
      </c>
      <c r="D32">
        <f>(C32-U$2*(B32-1))/U$2*(PI()/2)+PI()/2*(B32-1)</f>
        <v>1.8849555921538759</v>
      </c>
      <c r="E32">
        <f>$V$2+(COS(PI()/2*($B32-1))-SIN(PI()/2*($B32-1)))*$R$2/2-($T$2*-(COS(PI()/2*($B32-1))-SIN(PI()/2*($B32-1)))) +($T$2*COS(D32))</f>
        <v>-1.6545084971874735</v>
      </c>
      <c r="F32">
        <f>W$2+(COS(PI()/2*($B32-1))+SIN(PI()/2*($B32-1)))*S$2/2 - ($T$2*-(COS(PI()/2*($B32-1))+SIN(PI()/2*($B32-1)))) + ($T$2*SIN($D32))</f>
        <v>1.4755282581475768</v>
      </c>
    </row>
    <row r="33" spans="1:6" x14ac:dyDescent="0.3">
      <c r="A33">
        <v>32</v>
      </c>
      <c r="B33">
        <v>2</v>
      </c>
      <c r="C33">
        <v>31</v>
      </c>
      <c r="D33">
        <f>(C33-U$2*(B33-1))/U$2*(PI()/2)+PI()/2*(B33-1)</f>
        <v>1.9477874452256718</v>
      </c>
      <c r="E33">
        <f>$V$2+(COS(PI()/2*($B33-1))-SIN(PI()/2*($B33-1)))*$R$2/2-($T$2*-(COS(PI()/2*($B33-1))-SIN(PI()/2*($B33-1)))) +($T$2*COS(D33))</f>
        <v>-1.6840622763423387</v>
      </c>
      <c r="F33">
        <f>W$2+(COS(PI()/2*($B33-1))+SIN(PI()/2*($B33-1)))*S$2/2 - ($T$2*-(COS(PI()/2*($B33-1))+SIN(PI()/2*($B33-1)))) + ($T$2*SIN($D33))</f>
        <v>1.4648882429441257</v>
      </c>
    </row>
    <row r="34" spans="1:6" x14ac:dyDescent="0.3">
      <c r="A34">
        <v>33</v>
      </c>
      <c r="B34">
        <v>2</v>
      </c>
      <c r="C34">
        <v>32</v>
      </c>
      <c r="D34">
        <f>(C34-U$2*(B34-1))/U$2*(PI()/2)+PI()/2*(B34-1)</f>
        <v>2.0106192982974678</v>
      </c>
      <c r="E34">
        <f>$V$2+(COS(PI()/2*($B34-1))-SIN(PI()/2*($B34-1)))*$R$2/2-($T$2*-(COS(PI()/2*($B34-1))-SIN(PI()/2*($B34-1)))) +($T$2*COS(D34))</f>
        <v>-1.7128896457825362</v>
      </c>
      <c r="F34">
        <f>W$2+(COS(PI()/2*($B34-1))+SIN(PI()/2*($B34-1)))*S$2/2 - ($T$2*-(COS(PI()/2*($B34-1))+SIN(PI()/2*($B34-1)))) + ($T$2*SIN($D34))</f>
        <v>1.4524135262330098</v>
      </c>
    </row>
    <row r="35" spans="1:6" x14ac:dyDescent="0.3">
      <c r="A35">
        <v>34</v>
      </c>
      <c r="B35">
        <v>2</v>
      </c>
      <c r="C35">
        <v>33</v>
      </c>
      <c r="D35">
        <f>(C35-U$2*(B35-1))/U$2*(PI()/2)+PI()/2*(B35-1)</f>
        <v>2.0734511513692633</v>
      </c>
      <c r="E35">
        <f>$V$2+(COS(PI()/2*($B35-1))-SIN(PI()/2*($B35-1)))*$R$2/2-($T$2*-(COS(PI()/2*($B35-1))-SIN(PI()/2*($B35-1)))) +($T$2*COS(D35))</f>
        <v>-1.7408768370508574</v>
      </c>
      <c r="F35">
        <f>W$2+(COS(PI()/2*($B35-1))+SIN(PI()/2*($B35-1)))*S$2/2 - ($T$2*-(COS(PI()/2*($B35-1))+SIN(PI()/2*($B35-1)))) + ($T$2*SIN($D35))</f>
        <v>1.4381533400219317</v>
      </c>
    </row>
    <row r="36" spans="1:6" x14ac:dyDescent="0.3">
      <c r="A36">
        <v>35</v>
      </c>
      <c r="B36">
        <v>2</v>
      </c>
      <c r="C36">
        <v>34</v>
      </c>
      <c r="D36">
        <f>(C36-U$2*(B36-1))/U$2*(PI()/2)+PI()/2*(B36-1)</f>
        <v>2.1362830044410592</v>
      </c>
      <c r="E36">
        <f>$V$2+(COS(PI()/2*($B36-1))-SIN(PI()/2*($B36-1)))*$R$2/2-($T$2*-(COS(PI()/2*($B36-1))-SIN(PI()/2*($B36-1)))) +($T$2*COS(D36))</f>
        <v>-1.7679133974894981</v>
      </c>
      <c r="F36">
        <f>W$2+(COS(PI()/2*($B36-1))+SIN(PI()/2*($B36-1)))*S$2/2 - ($T$2*-(COS(PI()/2*($B36-1))+SIN(PI()/2*($B36-1)))) + ($T$2*SIN($D36))</f>
        <v>1.4221639627510076</v>
      </c>
    </row>
    <row r="37" spans="1:6" x14ac:dyDescent="0.3">
      <c r="A37">
        <v>36</v>
      </c>
      <c r="B37">
        <v>2</v>
      </c>
      <c r="C37">
        <v>35</v>
      </c>
      <c r="D37">
        <f>(C37-U$2*(B37-1))/U$2*(PI()/2)+PI()/2*(B37-1)</f>
        <v>2.1991148575128552</v>
      </c>
      <c r="E37">
        <f>$V$2+(COS(PI()/2*($B37-1))-SIN(PI()/2*($B37-1)))*$R$2/2-($T$2*-(COS(PI()/2*($B37-1))-SIN(PI()/2*($B37-1)))) +($T$2*COS(D37))</f>
        <v>-1.7938926261462362</v>
      </c>
      <c r="F37">
        <f>W$2+(COS(PI()/2*($B37-1))+SIN(PI()/2*($B37-1)))*S$2/2 - ($T$2*-(COS(PI()/2*($B37-1))+SIN(PI()/2*($B37-1)))) + ($T$2*SIN($D37))</f>
        <v>1.4045084971874737</v>
      </c>
    </row>
    <row r="38" spans="1:6" x14ac:dyDescent="0.3">
      <c r="A38">
        <v>37</v>
      </c>
      <c r="B38">
        <v>2</v>
      </c>
      <c r="C38">
        <v>36</v>
      </c>
      <c r="D38">
        <f>(C38-U$2*(B38-1))/U$2*(PI()/2)+PI()/2*(B38-1)</f>
        <v>2.2619467105846511</v>
      </c>
      <c r="E38">
        <f>$V$2+(COS(PI()/2*($B38-1))-SIN(PI()/2*($B38-1)))*$R$2/2-($T$2*-(COS(PI()/2*($B38-1))-SIN(PI()/2*($B38-1)))) +($T$2*COS(D38))</f>
        <v>-1.8187119948743447</v>
      </c>
      <c r="F38">
        <f>W$2+(COS(PI()/2*($B38-1))+SIN(PI()/2*($B38-1)))*S$2/2 - ($T$2*-(COS(PI()/2*($B38-1))+SIN(PI()/2*($B38-1)))) + ($T$2*SIN($D38))</f>
        <v>1.3852566213878945</v>
      </c>
    </row>
    <row r="39" spans="1:6" x14ac:dyDescent="0.3">
      <c r="A39">
        <v>38</v>
      </c>
      <c r="B39">
        <v>2</v>
      </c>
      <c r="C39">
        <v>37</v>
      </c>
      <c r="D39">
        <f>(C39-U$2*(B39-1))/U$2*(PI()/2)+PI()/2*(B39-1)</f>
        <v>2.3247785636564471</v>
      </c>
      <c r="E39">
        <f>$V$2+(COS(PI()/2*($B39-1))-SIN(PI()/2*($B39-1)))*$R$2/2-($T$2*-(COS(PI()/2*($B39-1))-SIN(PI()/2*($B39-1)))) +($T$2*COS(D39))</f>
        <v>-1.8422735529643441</v>
      </c>
      <c r="F39">
        <f>W$2+(COS(PI()/2*($B39-1))+SIN(PI()/2*($B39-1)))*S$2/2 - ($T$2*-(COS(PI()/2*($B39-1))+SIN(PI()/2*($B39-1)))) + ($T$2*SIN($D39))</f>
        <v>1.3644843137107057</v>
      </c>
    </row>
    <row r="40" spans="1:6" x14ac:dyDescent="0.3">
      <c r="A40">
        <v>39</v>
      </c>
      <c r="B40">
        <v>2</v>
      </c>
      <c r="C40">
        <v>38</v>
      </c>
      <c r="D40">
        <f>(C40-U$2*(B40-1))/U$2*(PI()/2)+PI()/2*(B40-1)</f>
        <v>2.3876104167282426</v>
      </c>
      <c r="E40">
        <f>$V$2+(COS(PI()/2*($B40-1))-SIN(PI()/2*($B40-1)))*$R$2/2-($T$2*-(COS(PI()/2*($B40-1))-SIN(PI()/2*($B40-1)))) +($T$2*COS(D40))</f>
        <v>-1.8644843137107054</v>
      </c>
      <c r="F40">
        <f>W$2+(COS(PI()/2*($B40-1))+SIN(PI()/2*($B40-1)))*S$2/2 - ($T$2*-(COS(PI()/2*($B40-1))+SIN(PI()/2*($B40-1)))) + ($T$2*SIN($D40))</f>
        <v>1.3422735529643444</v>
      </c>
    </row>
    <row r="41" spans="1:6" x14ac:dyDescent="0.3">
      <c r="A41">
        <v>40</v>
      </c>
      <c r="B41">
        <v>2</v>
      </c>
      <c r="C41">
        <v>39</v>
      </c>
      <c r="D41">
        <f>(C41-U$2*(B41-1))/U$2*(PI()/2)+PI()/2*(B41-1)</f>
        <v>2.450442269800039</v>
      </c>
      <c r="E41">
        <f>$V$2+(COS(PI()/2*($B41-1))-SIN(PI()/2*($B41-1)))*$R$2/2-($T$2*-(COS(PI()/2*($B41-1))-SIN(PI()/2*($B41-1)))) +($T$2*COS(D41))</f>
        <v>-1.8852566213878945</v>
      </c>
      <c r="F41">
        <f>W$2+(COS(PI()/2*($B41-1))+SIN(PI()/2*($B41-1)))*S$2/2 - ($T$2*-(COS(PI()/2*($B41-1))+SIN(PI()/2*($B41-1)))) + ($T$2*SIN($D41))</f>
        <v>1.3187119948743447</v>
      </c>
    </row>
    <row r="42" spans="1:6" x14ac:dyDescent="0.3">
      <c r="A42">
        <v>41</v>
      </c>
      <c r="B42">
        <v>2</v>
      </c>
      <c r="C42">
        <v>40</v>
      </c>
      <c r="D42">
        <f>(C42-U$2*(B42-1))/U$2*(PI()/2)+PI()/2*(B42-1)</f>
        <v>2.5132741228718345</v>
      </c>
      <c r="E42">
        <f>$V$2+(COS(PI()/2*($B42-1))-SIN(PI()/2*($B42-1)))*$R$2/2-($T$2*-(COS(PI()/2*($B42-1))-SIN(PI()/2*($B42-1)))) +($T$2*COS(D42))</f>
        <v>-1.9045084971874735</v>
      </c>
      <c r="F42">
        <f>W$2+(COS(PI()/2*($B42-1))+SIN(PI()/2*($B42-1)))*S$2/2 - ($T$2*-(COS(PI()/2*($B42-1))+SIN(PI()/2*($B42-1)))) + ($T$2*SIN($D42))</f>
        <v>1.2938926261462367</v>
      </c>
    </row>
    <row r="43" spans="1:6" x14ac:dyDescent="0.3">
      <c r="A43">
        <v>42</v>
      </c>
      <c r="B43">
        <v>2</v>
      </c>
      <c r="C43">
        <v>41</v>
      </c>
      <c r="D43">
        <f>(C43-U$2*(B43-1))/U$2*(PI()/2)+PI()/2*(B43-1)</f>
        <v>2.5761059759436304</v>
      </c>
      <c r="E43">
        <f>$V$2+(COS(PI()/2*($B43-1))-SIN(PI()/2*($B43-1)))*$R$2/2-($T$2*-(COS(PI()/2*($B43-1))-SIN(PI()/2*($B43-1)))) +($T$2*COS(D43))</f>
        <v>-1.9221639627510072</v>
      </c>
      <c r="F43">
        <f>W$2+(COS(PI()/2*($B43-1))+SIN(PI()/2*($B43-1)))*S$2/2 - ($T$2*-(COS(PI()/2*($B43-1))+SIN(PI()/2*($B43-1)))) + ($T$2*SIN($D43))</f>
        <v>1.2679133974894983</v>
      </c>
    </row>
    <row r="44" spans="1:6" x14ac:dyDescent="0.3">
      <c r="A44">
        <v>43</v>
      </c>
      <c r="B44">
        <v>2</v>
      </c>
      <c r="C44">
        <v>42</v>
      </c>
      <c r="D44">
        <f>(C44-U$2*(B44-1))/U$2*(PI()/2)+PI()/2*(B44-1)</f>
        <v>2.6389378290154264</v>
      </c>
      <c r="E44">
        <f>$V$2+(COS(PI()/2*($B44-1))-SIN(PI()/2*($B44-1)))*$R$2/2-($T$2*-(COS(PI()/2*($B44-1))-SIN(PI()/2*($B44-1)))) +($T$2*COS(D44))</f>
        <v>-1.9381533400219315</v>
      </c>
      <c r="F44">
        <f>W$2+(COS(PI()/2*($B44-1))+SIN(PI()/2*($B44-1)))*S$2/2 - ($T$2*-(COS(PI()/2*($B44-1))+SIN(PI()/2*($B44-1)))) + ($T$2*SIN($D44))</f>
        <v>1.2408768370508576</v>
      </c>
    </row>
    <row r="45" spans="1:6" x14ac:dyDescent="0.3">
      <c r="A45">
        <v>44</v>
      </c>
      <c r="B45">
        <v>2</v>
      </c>
      <c r="C45">
        <v>43</v>
      </c>
      <c r="D45">
        <f>(C45-U$2*(B45-1))/U$2*(PI()/2)+PI()/2*(B45-1)</f>
        <v>2.7017696820872219</v>
      </c>
      <c r="E45">
        <f>$V$2+(COS(PI()/2*($B45-1))-SIN(PI()/2*($B45-1)))*$R$2/2-($T$2*-(COS(PI()/2*($B45-1))-SIN(PI()/2*($B45-1)))) +($T$2*COS(D45))</f>
        <v>-1.9524135262330096</v>
      </c>
      <c r="F45">
        <f>W$2+(COS(PI()/2*($B45-1))+SIN(PI()/2*($B45-1)))*S$2/2 - ($T$2*-(COS(PI()/2*($B45-1))+SIN(PI()/2*($B45-1)))) + ($T$2*SIN($D45))</f>
        <v>1.2128896457825364</v>
      </c>
    </row>
    <row r="46" spans="1:6" x14ac:dyDescent="0.3">
      <c r="A46">
        <v>45</v>
      </c>
      <c r="B46">
        <v>2</v>
      </c>
      <c r="C46">
        <v>44</v>
      </c>
      <c r="D46">
        <f>(C46-U$2*(B46-1))/U$2*(PI()/2)+PI()/2*(B46-1)</f>
        <v>2.7646015351590179</v>
      </c>
      <c r="E46">
        <f>$V$2+(COS(PI()/2*($B46-1))-SIN(PI()/2*($B46-1)))*$R$2/2-($T$2*-(COS(PI()/2*($B46-1))-SIN(PI()/2*($B46-1)))) +($T$2*COS(D46))</f>
        <v>-1.9648882429441255</v>
      </c>
      <c r="F46">
        <f>W$2+(COS(PI()/2*($B46-1))+SIN(PI()/2*($B46-1)))*S$2/2 - ($T$2*-(COS(PI()/2*($B46-1))+SIN(PI()/2*($B46-1)))) + ($T$2*SIN($D46))</f>
        <v>1.1840622763423392</v>
      </c>
    </row>
    <row r="47" spans="1:6" x14ac:dyDescent="0.3">
      <c r="A47">
        <v>46</v>
      </c>
      <c r="B47">
        <v>2</v>
      </c>
      <c r="C47">
        <v>45</v>
      </c>
      <c r="D47">
        <f>(C47-U$2*(B47-1))/U$2*(PI()/2)+PI()/2*(B47-1)</f>
        <v>2.8274333882308138</v>
      </c>
      <c r="E47">
        <f>$V$2+(COS(PI()/2*($B47-1))-SIN(PI()/2*($B47-1)))*$R$2/2-($T$2*-(COS(PI()/2*($B47-1))-SIN(PI()/2*($B47-1)))) +($T$2*COS(D47))</f>
        <v>-1.9755282581475766</v>
      </c>
      <c r="F47">
        <f>W$2+(COS(PI()/2*($B47-1))+SIN(PI()/2*($B47-1)))*S$2/2 - ($T$2*-(COS(PI()/2*($B47-1))+SIN(PI()/2*($B47-1)))) + ($T$2*SIN($D47))</f>
        <v>1.1545084971874737</v>
      </c>
    </row>
    <row r="48" spans="1:6" x14ac:dyDescent="0.3">
      <c r="A48">
        <v>47</v>
      </c>
      <c r="B48">
        <v>2</v>
      </c>
      <c r="C48">
        <v>46</v>
      </c>
      <c r="D48">
        <f>(C48-U$2*(B48-1))/U$2*(PI()/2)+PI()/2*(B48-1)</f>
        <v>2.8902652413026093</v>
      </c>
      <c r="E48">
        <f>$V$2+(COS(PI()/2*($B48-1))-SIN(PI()/2*($B48-1)))*$R$2/2-($T$2*-(COS(PI()/2*($B48-1))-SIN(PI()/2*($B48-1)))) +($T$2*COS(D48))</f>
        <v>-1.9842915805643153</v>
      </c>
      <c r="F48">
        <f>W$2+(COS(PI()/2*($B48-1))+SIN(PI()/2*($B48-1)))*S$2/2 - ($T$2*-(COS(PI()/2*($B48-1))+SIN(PI()/2*($B48-1)))) + ($T$2*SIN($D48))</f>
        <v>1.1243449435824275</v>
      </c>
    </row>
    <row r="49" spans="1:6" x14ac:dyDescent="0.3">
      <c r="A49">
        <v>48</v>
      </c>
      <c r="B49">
        <v>2</v>
      </c>
      <c r="C49">
        <v>47</v>
      </c>
      <c r="D49">
        <f>(C49-U$2*(B49-1))/U$2*(PI()/2)+PI()/2*(B49-1)</f>
        <v>2.9530970943744057</v>
      </c>
      <c r="E49">
        <f>$V$2+(COS(PI()/2*($B49-1))-SIN(PI()/2*($B49-1)))*$R$2/2-($T$2*-(COS(PI()/2*($B49-1))-SIN(PI()/2*($B49-1)))) +($T$2*COS(D49))</f>
        <v>-1.9911436253643442</v>
      </c>
      <c r="F49">
        <f>W$2+(COS(PI()/2*($B49-1))+SIN(PI()/2*($B49-1)))*S$2/2 - ($T$2*-(COS(PI()/2*($B49-1))+SIN(PI()/2*($B49-1)))) + ($T$2*SIN($D49))</f>
        <v>1.0936906572928622</v>
      </c>
    </row>
    <row r="50" spans="1:6" x14ac:dyDescent="0.3">
      <c r="A50">
        <v>49</v>
      </c>
      <c r="B50">
        <v>2</v>
      </c>
      <c r="C50">
        <v>48</v>
      </c>
      <c r="D50">
        <f>(C50-U$2*(B50-1))/U$2*(PI()/2)+PI()/2*(B50-1)</f>
        <v>3.0159289474462012</v>
      </c>
      <c r="E50">
        <f>$V$2+(COS(PI()/2*($B50-1))-SIN(PI()/2*($B50-1)))*$R$2/2-($T$2*-(COS(PI()/2*($B50-1))-SIN(PI()/2*($B50-1)))) +($T$2*COS(D50))</f>
        <v>-1.9960573506572388</v>
      </c>
      <c r="F50">
        <f>W$2+(COS(PI()/2*($B50-1))+SIN(PI()/2*($B50-1)))*S$2/2 - ($T$2*-(COS(PI()/2*($B50-1))+SIN(PI()/2*($B50-1)))) + ($T$2*SIN($D50))</f>
        <v>1.0626666167821524</v>
      </c>
    </row>
    <row r="51" spans="1:6" x14ac:dyDescent="0.3">
      <c r="A51">
        <v>50</v>
      </c>
      <c r="B51">
        <v>2</v>
      </c>
      <c r="C51">
        <v>49</v>
      </c>
      <c r="D51">
        <f>(C51-U$2*(B51-1))/U$2*(PI()/2)+PI()/2*(B51-1)</f>
        <v>3.0787608005179972</v>
      </c>
      <c r="E51">
        <f>$V$2+(COS(PI()/2*($B51-1))-SIN(PI()/2*($B51-1)))*$R$2/2-($T$2*-(COS(PI()/2*($B51-1))-SIN(PI()/2*($B51-1)))) +($T$2*COS(D51))</f>
        <v>-1.9990133642141354</v>
      </c>
      <c r="F51">
        <f>W$2+(COS(PI()/2*($B51-1))+SIN(PI()/2*($B51-1)))*S$2/2 - ($T$2*-(COS(PI()/2*($B51-1))+SIN(PI()/2*($B51-1)))) + ($T$2*SIN($D51))</f>
        <v>1.0313952597646567</v>
      </c>
    </row>
    <row r="52" spans="1:6" x14ac:dyDescent="0.3">
      <c r="A52">
        <v>51</v>
      </c>
      <c r="B52">
        <v>3</v>
      </c>
      <c r="C52">
        <v>50</v>
      </c>
      <c r="D52">
        <f>(C52-U$2*(B52-1))/U$2*(PI()/2)+PI()/2*(B52-1)</f>
        <v>3.1415926535897931</v>
      </c>
      <c r="E52">
        <f>$V$2+(COS(PI()/2*($B52-1))-SIN(PI()/2*($B52-1)))*$R$2/2-($T$2*-(COS(PI()/2*($B52-1))-SIN(PI()/2*($B52-1)))) +($T$2*COS(D52))</f>
        <v>-2.0000000000000004</v>
      </c>
      <c r="F52">
        <f>W$2+(COS(PI()/2*($B52-1))+SIN(PI()/2*($B52-1)))*S$2/2 - ($T$2*-(COS(PI()/2*($B52-1))+SIN(PI()/2*($B52-1)))) + ($T$2*SIN($D52))</f>
        <v>-0.99999999999999978</v>
      </c>
    </row>
    <row r="53" spans="1:6" x14ac:dyDescent="0.3">
      <c r="A53">
        <v>52</v>
      </c>
      <c r="B53">
        <v>3</v>
      </c>
      <c r="C53">
        <v>51</v>
      </c>
      <c r="D53">
        <f>(C53-U$2*(B53-1))/U$2*(PI()/2)+PI()/2*(B53-1)</f>
        <v>3.2044245066615891</v>
      </c>
      <c r="E53">
        <f>$V$2+(COS(PI()/2*($B53-1))-SIN(PI()/2*($B53-1)))*$R$2/2-($T$2*-(COS(PI()/2*($B53-1))-SIN(PI()/2*($B53-1)))) +($T$2*COS(D53))</f>
        <v>-1.9990133642141363</v>
      </c>
      <c r="F53">
        <f>W$2+(COS(PI()/2*($B53-1))+SIN(PI()/2*($B53-1)))*S$2/2 - ($T$2*-(COS(PI()/2*($B53-1))+SIN(PI()/2*($B53-1)))) + ($T$2*SIN($D53))</f>
        <v>-1.0313952597646565</v>
      </c>
    </row>
    <row r="54" spans="1:6" x14ac:dyDescent="0.3">
      <c r="A54">
        <v>53</v>
      </c>
      <c r="B54">
        <v>3</v>
      </c>
      <c r="C54">
        <v>52</v>
      </c>
      <c r="D54">
        <f>(C54-U$2*(B54-1))/U$2*(PI()/2)+PI()/2*(B54-1)</f>
        <v>3.267256359733385</v>
      </c>
      <c r="E54">
        <f>$V$2+(COS(PI()/2*($B54-1))-SIN(PI()/2*($B54-1)))*$R$2/2-($T$2*-(COS(PI()/2*($B54-1))-SIN(PI()/2*($B54-1)))) +($T$2*COS(D54))</f>
        <v>-1.9960573506572394</v>
      </c>
      <c r="F54">
        <f>W$2+(COS(PI()/2*($B54-1))+SIN(PI()/2*($B54-1)))*S$2/2 - ($T$2*-(COS(PI()/2*($B54-1))+SIN(PI()/2*($B54-1)))) + ($T$2*SIN($D54))</f>
        <v>-1.0626666167821521</v>
      </c>
    </row>
    <row r="55" spans="1:6" x14ac:dyDescent="0.3">
      <c r="A55">
        <v>54</v>
      </c>
      <c r="B55">
        <v>3</v>
      </c>
      <c r="C55">
        <v>53</v>
      </c>
      <c r="D55">
        <f>(C55-U$2*(B55-1))/U$2*(PI()/2)+PI()/2*(B55-1)</f>
        <v>3.3300882128051805</v>
      </c>
      <c r="E55">
        <f>$V$2+(COS(PI()/2*($B55-1))-SIN(PI()/2*($B55-1)))*$R$2/2-($T$2*-(COS(PI()/2*($B55-1))-SIN(PI()/2*($B55-1)))) +($T$2*COS(D55))</f>
        <v>-1.9911436253643449</v>
      </c>
      <c r="F55">
        <f>W$2+(COS(PI()/2*($B55-1))+SIN(PI()/2*($B55-1)))*S$2/2 - ($T$2*-(COS(PI()/2*($B55-1))+SIN(PI()/2*($B55-1)))) + ($T$2*SIN($D55))</f>
        <v>-1.093690657292862</v>
      </c>
    </row>
    <row r="56" spans="1:6" x14ac:dyDescent="0.3">
      <c r="A56">
        <v>55</v>
      </c>
      <c r="B56">
        <v>3</v>
      </c>
      <c r="C56">
        <v>54</v>
      </c>
      <c r="D56">
        <f>(C56-U$2*(B56-1))/U$2*(PI()/2)+PI()/2*(B56-1)</f>
        <v>3.3929200658769765</v>
      </c>
      <c r="E56">
        <f>$V$2+(COS(PI()/2*($B56-1))-SIN(PI()/2*($B56-1)))*$R$2/2-($T$2*-(COS(PI()/2*($B56-1))-SIN(PI()/2*($B56-1)))) +($T$2*COS(D56))</f>
        <v>-1.984291580564316</v>
      </c>
      <c r="F56">
        <f>W$2+(COS(PI()/2*($B56-1))+SIN(PI()/2*($B56-1)))*S$2/2 - ($T$2*-(COS(PI()/2*($B56-1))+SIN(PI()/2*($B56-1)))) + ($T$2*SIN($D56))</f>
        <v>-1.1243449435824271</v>
      </c>
    </row>
    <row r="57" spans="1:6" x14ac:dyDescent="0.3">
      <c r="A57">
        <v>56</v>
      </c>
      <c r="B57">
        <v>3</v>
      </c>
      <c r="C57">
        <v>55</v>
      </c>
      <c r="D57">
        <f>(C57-U$2*(B57-1))/U$2*(PI()/2)+PI()/2*(B57-1)</f>
        <v>3.4557519189487724</v>
      </c>
      <c r="E57">
        <f>$V$2+(COS(PI()/2*($B57-1))-SIN(PI()/2*($B57-1)))*$R$2/2-($T$2*-(COS(PI()/2*($B57-1))-SIN(PI()/2*($B57-1)))) +($T$2*COS(D57))</f>
        <v>-1.9755282581475773</v>
      </c>
      <c r="F57">
        <f>W$2+(COS(PI()/2*($B57-1))+SIN(PI()/2*($B57-1)))*S$2/2 - ($T$2*-(COS(PI()/2*($B57-1))+SIN(PI()/2*($B57-1)))) + ($T$2*SIN($D57))</f>
        <v>-1.1545084971874735</v>
      </c>
    </row>
    <row r="58" spans="1:6" x14ac:dyDescent="0.3">
      <c r="A58">
        <v>57</v>
      </c>
      <c r="B58">
        <v>3</v>
      </c>
      <c r="C58">
        <v>56</v>
      </c>
      <c r="D58">
        <f>(C58-U$2*(B58-1))/U$2*(PI()/2)+PI()/2*(B58-1)</f>
        <v>3.5185837720205684</v>
      </c>
      <c r="E58">
        <f>$V$2+(COS(PI()/2*($B58-1))-SIN(PI()/2*($B58-1)))*$R$2/2-($T$2*-(COS(PI()/2*($B58-1))-SIN(PI()/2*($B58-1)))) +($T$2*COS(D58))</f>
        <v>-1.9648882429441261</v>
      </c>
      <c r="F58">
        <f>W$2+(COS(PI()/2*($B58-1))+SIN(PI()/2*($B58-1)))*S$2/2 - ($T$2*-(COS(PI()/2*($B58-1))+SIN(PI()/2*($B58-1)))) + ($T$2*SIN($D58))</f>
        <v>-1.1840622763423387</v>
      </c>
    </row>
    <row r="59" spans="1:6" x14ac:dyDescent="0.3">
      <c r="A59">
        <v>58</v>
      </c>
      <c r="B59">
        <v>3</v>
      </c>
      <c r="C59">
        <v>57</v>
      </c>
      <c r="D59">
        <f>(C59-U$2*(B59-1))/U$2*(PI()/2)+PI()/2*(B59-1)</f>
        <v>3.5814156250923643</v>
      </c>
      <c r="E59">
        <f>$V$2+(COS(PI()/2*($B59-1))-SIN(PI()/2*($B59-1)))*$R$2/2-($T$2*-(COS(PI()/2*($B59-1))-SIN(PI()/2*($B59-1)))) +($T$2*COS(D59))</f>
        <v>-1.9524135262330102</v>
      </c>
      <c r="F59">
        <f>W$2+(COS(PI()/2*($B59-1))+SIN(PI()/2*($B59-1)))*S$2/2 - ($T$2*-(COS(PI()/2*($B59-1))+SIN(PI()/2*($B59-1)))) + ($T$2*SIN($D59))</f>
        <v>-1.2128896457825362</v>
      </c>
    </row>
    <row r="60" spans="1:6" x14ac:dyDescent="0.3">
      <c r="A60">
        <v>59</v>
      </c>
      <c r="B60">
        <v>3</v>
      </c>
      <c r="C60">
        <v>58</v>
      </c>
      <c r="D60">
        <f>(C60-U$2*(B60-1))/U$2*(PI()/2)+PI()/2*(B60-1)</f>
        <v>3.6442474781641598</v>
      </c>
      <c r="E60">
        <f>$V$2+(COS(PI()/2*($B60-1))-SIN(PI()/2*($B60-1)))*$R$2/2-($T$2*-(COS(PI()/2*($B60-1))-SIN(PI()/2*($B60-1)))) +($T$2*COS(D60))</f>
        <v>-1.9381533400219322</v>
      </c>
      <c r="F60">
        <f>W$2+(COS(PI()/2*($B60-1))+SIN(PI()/2*($B60-1)))*S$2/2 - ($T$2*-(COS(PI()/2*($B60-1))+SIN(PI()/2*($B60-1)))) + ($T$2*SIN($D60))</f>
        <v>-1.2408768370508574</v>
      </c>
    </row>
    <row r="61" spans="1:6" x14ac:dyDescent="0.3">
      <c r="A61">
        <v>60</v>
      </c>
      <c r="B61">
        <v>3</v>
      </c>
      <c r="C61">
        <v>59</v>
      </c>
      <c r="D61">
        <f>(C61-U$2*(B61-1))/U$2*(PI()/2)+PI()/2*(B61-1)</f>
        <v>3.7070793312359558</v>
      </c>
      <c r="E61">
        <f>$V$2+(COS(PI()/2*($B61-1))-SIN(PI()/2*($B61-1)))*$R$2/2-($T$2*-(COS(PI()/2*($B61-1))-SIN(PI()/2*($B61-1)))) +($T$2*COS(D61))</f>
        <v>-1.9221639627510081</v>
      </c>
      <c r="F61">
        <f>W$2+(COS(PI()/2*($B61-1))+SIN(PI()/2*($B61-1)))*S$2/2 - ($T$2*-(COS(PI()/2*($B61-1))+SIN(PI()/2*($B61-1)))) + ($T$2*SIN($D61))</f>
        <v>-1.2679133974894981</v>
      </c>
    </row>
    <row r="62" spans="1:6" x14ac:dyDescent="0.3">
      <c r="A62">
        <v>61</v>
      </c>
      <c r="B62">
        <v>3</v>
      </c>
      <c r="C62">
        <v>60</v>
      </c>
      <c r="D62">
        <f>(C62-U$2*(B62-1))/U$2*(PI()/2)+PI()/2*(B62-1)</f>
        <v>3.7699111843077517</v>
      </c>
      <c r="E62">
        <f>$V$2+(COS(PI()/2*($B62-1))-SIN(PI()/2*($B62-1)))*$R$2/2-($T$2*-(COS(PI()/2*($B62-1))-SIN(PI()/2*($B62-1)))) +($T$2*COS(D62))</f>
        <v>-1.9045084971874742</v>
      </c>
      <c r="F62">
        <f>W$2+(COS(PI()/2*($B62-1))+SIN(PI()/2*($B62-1)))*S$2/2 - ($T$2*-(COS(PI()/2*($B62-1))+SIN(PI()/2*($B62-1)))) + ($T$2*SIN($D62))</f>
        <v>-1.2938926261462365</v>
      </c>
    </row>
    <row r="63" spans="1:6" x14ac:dyDescent="0.3">
      <c r="A63">
        <v>62</v>
      </c>
      <c r="B63">
        <v>3</v>
      </c>
      <c r="C63">
        <v>61</v>
      </c>
      <c r="D63">
        <f>(C63-U$2*(B63-1))/U$2*(PI()/2)+PI()/2*(B63-1)</f>
        <v>3.8327430373795477</v>
      </c>
      <c r="E63">
        <f>$V$2+(COS(PI()/2*($B63-1))-SIN(PI()/2*($B63-1)))*$R$2/2-($T$2*-(COS(PI()/2*($B63-1))-SIN(PI()/2*($B63-1)))) +($T$2*COS(D63))</f>
        <v>-1.885256621387895</v>
      </c>
      <c r="F63">
        <f>W$2+(COS(PI()/2*($B63-1))+SIN(PI()/2*($B63-1)))*S$2/2 - ($T$2*-(COS(PI()/2*($B63-1))+SIN(PI()/2*($B63-1)))) + ($T$2*SIN($D63))</f>
        <v>-1.3187119948743447</v>
      </c>
    </row>
    <row r="64" spans="1:6" x14ac:dyDescent="0.3">
      <c r="A64">
        <v>63</v>
      </c>
      <c r="B64">
        <v>3</v>
      </c>
      <c r="C64">
        <v>62</v>
      </c>
      <c r="D64">
        <f>(C64-U$2*(B64-1))/U$2*(PI()/2)+PI()/2*(B64-1)</f>
        <v>3.8955748904513436</v>
      </c>
      <c r="E64">
        <f>$V$2+(COS(PI()/2*($B64-1))-SIN(PI()/2*($B64-1)))*$R$2/2-($T$2*-(COS(PI()/2*($B64-1))-SIN(PI()/2*($B64-1)))) +($T$2*COS(D64))</f>
        <v>-1.8644843137107063</v>
      </c>
      <c r="F64">
        <f>W$2+(COS(PI()/2*($B64-1))+SIN(PI()/2*($B64-1)))*S$2/2 - ($T$2*-(COS(PI()/2*($B64-1))+SIN(PI()/2*($B64-1)))) + ($T$2*SIN($D64))</f>
        <v>-1.3422735529643441</v>
      </c>
    </row>
    <row r="65" spans="1:6" x14ac:dyDescent="0.3">
      <c r="A65">
        <v>64</v>
      </c>
      <c r="B65">
        <v>3</v>
      </c>
      <c r="C65">
        <v>63</v>
      </c>
      <c r="D65">
        <f>(C65-U$2*(B65-1))/U$2*(PI()/2)+PI()/2*(B65-1)</f>
        <v>3.9584067435231391</v>
      </c>
      <c r="E65">
        <f>$V$2+(COS(PI()/2*($B65-1))-SIN(PI()/2*($B65-1)))*$R$2/2-($T$2*-(COS(PI()/2*($B65-1))-SIN(PI()/2*($B65-1)))) +($T$2*COS(D65))</f>
        <v>-1.842273552964345</v>
      </c>
      <c r="F65">
        <f>W$2+(COS(PI()/2*($B65-1))+SIN(PI()/2*($B65-1)))*S$2/2 - ($T$2*-(COS(PI()/2*($B65-1))+SIN(PI()/2*($B65-1)))) + ($T$2*SIN($D65))</f>
        <v>-1.3644843137107054</v>
      </c>
    </row>
    <row r="66" spans="1:6" x14ac:dyDescent="0.3">
      <c r="A66">
        <v>65</v>
      </c>
      <c r="B66">
        <v>3</v>
      </c>
      <c r="C66">
        <v>64</v>
      </c>
      <c r="D66">
        <f>(C66-U$2*(B66-1))/U$2*(PI()/2)+PI()/2*(B66-1)</f>
        <v>4.0212385965949355</v>
      </c>
      <c r="E66">
        <f>$V$2+(COS(PI()/2*($B66-1))-SIN(PI()/2*($B66-1)))*$R$2/2-($T$2*-(COS(PI()/2*($B66-1))-SIN(PI()/2*($B66-1)))) +($T$2*COS(D66))</f>
        <v>-1.8187119948743451</v>
      </c>
      <c r="F66">
        <f>W$2+(COS(PI()/2*($B66-1))+SIN(PI()/2*($B66-1)))*S$2/2 - ($T$2*-(COS(PI()/2*($B66-1))+SIN(PI()/2*($B66-1)))) + ($T$2*SIN($D66))</f>
        <v>-1.3852566213878945</v>
      </c>
    </row>
    <row r="67" spans="1:6" x14ac:dyDescent="0.3">
      <c r="A67">
        <v>66</v>
      </c>
      <c r="B67">
        <v>3</v>
      </c>
      <c r="C67">
        <v>65</v>
      </c>
      <c r="D67">
        <f>(C67-U$2*(B67-1))/U$2*(PI()/2)+PI()/2*(B67-1)</f>
        <v>4.0840704496667311</v>
      </c>
      <c r="E67">
        <f>$V$2+(COS(PI()/2*($B67-1))-SIN(PI()/2*($B67-1)))*$R$2/2-($T$2*-(COS(PI()/2*($B67-1))-SIN(PI()/2*($B67-1)))) +($T$2*COS(D67))</f>
        <v>-1.7938926261462371</v>
      </c>
      <c r="F67">
        <f>W$2+(COS(PI()/2*($B67-1))+SIN(PI()/2*($B67-1)))*S$2/2 - ($T$2*-(COS(PI()/2*($B67-1))+SIN(PI()/2*($B67-1)))) + ($T$2*SIN($D67))</f>
        <v>-1.4045084971874735</v>
      </c>
    </row>
    <row r="68" spans="1:6" x14ac:dyDescent="0.3">
      <c r="A68">
        <v>67</v>
      </c>
      <c r="B68">
        <v>3</v>
      </c>
      <c r="C68">
        <v>66</v>
      </c>
      <c r="D68">
        <f>(C68-U$2*(B68-1))/U$2*(PI()/2)+PI()/2*(B68-1)</f>
        <v>4.1469023027385266</v>
      </c>
      <c r="E68">
        <f>$V$2+(COS(PI()/2*($B68-1))-SIN(PI()/2*($B68-1)))*$R$2/2-($T$2*-(COS(PI()/2*($B68-1))-SIN(PI()/2*($B68-1)))) +($T$2*COS(D68))</f>
        <v>-1.7679133974894989</v>
      </c>
      <c r="F68">
        <f>W$2+(COS(PI()/2*($B68-1))+SIN(PI()/2*($B68-1)))*S$2/2 - ($T$2*-(COS(PI()/2*($B68-1))+SIN(PI()/2*($B68-1)))) + ($T$2*SIN($D68))</f>
        <v>-1.4221639627510072</v>
      </c>
    </row>
    <row r="69" spans="1:6" x14ac:dyDescent="0.3">
      <c r="A69">
        <v>68</v>
      </c>
      <c r="B69">
        <v>3</v>
      </c>
      <c r="C69">
        <v>67</v>
      </c>
      <c r="D69">
        <f>(C69-U$2*(B69-1))/U$2*(PI()/2)+PI()/2*(B69-1)</f>
        <v>4.209734155810323</v>
      </c>
      <c r="E69">
        <f>$V$2+(COS(PI()/2*($B69-1))-SIN(PI()/2*($B69-1)))*$R$2/2-($T$2*-(COS(PI()/2*($B69-1))-SIN(PI()/2*($B69-1)))) +($T$2*COS(D69))</f>
        <v>-1.7408768370508581</v>
      </c>
      <c r="F69">
        <f>W$2+(COS(PI()/2*($B69-1))+SIN(PI()/2*($B69-1)))*S$2/2 - ($T$2*-(COS(PI()/2*($B69-1))+SIN(PI()/2*($B69-1)))) + ($T$2*SIN($D69))</f>
        <v>-1.4381533400219317</v>
      </c>
    </row>
    <row r="70" spans="1:6" x14ac:dyDescent="0.3">
      <c r="A70">
        <v>69</v>
      </c>
      <c r="B70">
        <v>3</v>
      </c>
      <c r="C70">
        <v>68</v>
      </c>
      <c r="D70">
        <f>(C70-U$2*(B70-1))/U$2*(PI()/2)+PI()/2*(B70-1)</f>
        <v>4.2725660088821185</v>
      </c>
      <c r="E70">
        <f>$V$2+(COS(PI()/2*($B70-1))-SIN(PI()/2*($B70-1)))*$R$2/2-($T$2*-(COS(PI()/2*($B70-1))-SIN(PI()/2*($B70-1)))) +($T$2*COS(D70))</f>
        <v>-1.7128896457825369</v>
      </c>
      <c r="F70">
        <f>W$2+(COS(PI()/2*($B70-1))+SIN(PI()/2*($B70-1)))*S$2/2 - ($T$2*-(COS(PI()/2*($B70-1))+SIN(PI()/2*($B70-1)))) + ($T$2*SIN($D70))</f>
        <v>-1.4524135262330096</v>
      </c>
    </row>
    <row r="71" spans="1:6" x14ac:dyDescent="0.3">
      <c r="A71">
        <v>70</v>
      </c>
      <c r="B71">
        <v>3</v>
      </c>
      <c r="C71">
        <v>69</v>
      </c>
      <c r="D71">
        <f>(C71-U$2*(B71-1))/U$2*(PI()/2)+PI()/2*(B71-1)</f>
        <v>4.3353978619539149</v>
      </c>
      <c r="E71">
        <f>$V$2+(COS(PI()/2*($B71-1))-SIN(PI()/2*($B71-1)))*$R$2/2-($T$2*-(COS(PI()/2*($B71-1))-SIN(PI()/2*($B71-1)))) +($T$2*COS(D71))</f>
        <v>-1.6840622763423394</v>
      </c>
      <c r="F71">
        <f>W$2+(COS(PI()/2*($B71-1))+SIN(PI()/2*($B71-1)))*S$2/2 - ($T$2*-(COS(PI()/2*($B71-1))+SIN(PI()/2*($B71-1)))) + ($T$2*SIN($D71))</f>
        <v>-1.4648882429441257</v>
      </c>
    </row>
    <row r="72" spans="1:6" x14ac:dyDescent="0.3">
      <c r="A72">
        <v>71</v>
      </c>
      <c r="B72">
        <v>3</v>
      </c>
      <c r="C72">
        <v>70</v>
      </c>
      <c r="D72">
        <f>(C72-U$2*(B72-1))/U$2*(PI()/2)+PI()/2*(B72-1)</f>
        <v>4.3982297150257104</v>
      </c>
      <c r="E72">
        <f>$V$2+(COS(PI()/2*($B72-1))-SIN(PI()/2*($B72-1)))*$R$2/2-($T$2*-(COS(PI()/2*($B72-1))-SIN(PI()/2*($B72-1)))) +($T$2*COS(D72))</f>
        <v>-1.6545084971874742</v>
      </c>
      <c r="F72">
        <f>W$2+(COS(PI()/2*($B72-1))+SIN(PI()/2*($B72-1)))*S$2/2 - ($T$2*-(COS(PI()/2*($B72-1))+SIN(PI()/2*($B72-1)))) + ($T$2*SIN($D72))</f>
        <v>-1.4755282581475766</v>
      </c>
    </row>
    <row r="73" spans="1:6" x14ac:dyDescent="0.3">
      <c r="A73">
        <v>72</v>
      </c>
      <c r="B73">
        <v>3</v>
      </c>
      <c r="C73">
        <v>71</v>
      </c>
      <c r="D73">
        <f>(C73-U$2*(B73-1))/U$2*(PI()/2)+PI()/2*(B73-1)</f>
        <v>4.4610615680975059</v>
      </c>
      <c r="E73">
        <f>$V$2+(COS(PI()/2*($B73-1))-SIN(PI()/2*($B73-1)))*$R$2/2-($T$2*-(COS(PI()/2*($B73-1))-SIN(PI()/2*($B73-1)))) +($T$2*COS(D73))</f>
        <v>-1.624344943582428</v>
      </c>
      <c r="F73">
        <f>W$2+(COS(PI()/2*($B73-1))+SIN(PI()/2*($B73-1)))*S$2/2 - ($T$2*-(COS(PI()/2*($B73-1))+SIN(PI()/2*($B73-1)))) + ($T$2*SIN($D73))</f>
        <v>-1.4842915805643153</v>
      </c>
    </row>
    <row r="74" spans="1:6" x14ac:dyDescent="0.3">
      <c r="A74">
        <v>73</v>
      </c>
      <c r="B74">
        <v>3</v>
      </c>
      <c r="C74">
        <v>72</v>
      </c>
      <c r="D74">
        <f>(C74-U$2*(B74-1))/U$2*(PI()/2)+PI()/2*(B74-1)</f>
        <v>4.5238934211693023</v>
      </c>
      <c r="E74">
        <f>$V$2+(COS(PI()/2*($B74-1))-SIN(PI()/2*($B74-1)))*$R$2/2-($T$2*-(COS(PI()/2*($B74-1))-SIN(PI()/2*($B74-1)))) +($T$2*COS(D74))</f>
        <v>-1.5936906572928629</v>
      </c>
      <c r="F74">
        <f>W$2+(COS(PI()/2*($B74-1))+SIN(PI()/2*($B74-1)))*S$2/2 - ($T$2*-(COS(PI()/2*($B74-1))+SIN(PI()/2*($B74-1)))) + ($T$2*SIN($D74))</f>
        <v>-1.4911436253643442</v>
      </c>
    </row>
    <row r="75" spans="1:6" x14ac:dyDescent="0.3">
      <c r="A75">
        <v>74</v>
      </c>
      <c r="B75">
        <v>3</v>
      </c>
      <c r="C75">
        <v>73</v>
      </c>
      <c r="D75">
        <f>(C75-U$2*(B75-1))/U$2*(PI()/2)+PI()/2*(B75-1)</f>
        <v>4.5867252742410978</v>
      </c>
      <c r="E75">
        <f>$V$2+(COS(PI()/2*($B75-1))-SIN(PI()/2*($B75-1)))*$R$2/2-($T$2*-(COS(PI()/2*($B75-1))-SIN(PI()/2*($B75-1)))) +($T$2*COS(D75))</f>
        <v>-1.5626666167821528</v>
      </c>
      <c r="F75">
        <f>W$2+(COS(PI()/2*($B75-1))+SIN(PI()/2*($B75-1)))*S$2/2 - ($T$2*-(COS(PI()/2*($B75-1))+SIN(PI()/2*($B75-1)))) + ($T$2*SIN($D75))</f>
        <v>-1.4960573506572388</v>
      </c>
    </row>
    <row r="76" spans="1:6" x14ac:dyDescent="0.3">
      <c r="A76">
        <v>75</v>
      </c>
      <c r="B76">
        <v>3</v>
      </c>
      <c r="C76">
        <v>74</v>
      </c>
      <c r="D76">
        <f>(C76-U$2*(B76-1))/U$2*(PI()/2)+PI()/2*(B76-1)</f>
        <v>4.6495571273128942</v>
      </c>
      <c r="E76">
        <f>$V$2+(COS(PI()/2*($B76-1))-SIN(PI()/2*($B76-1)))*$R$2/2-($T$2*-(COS(PI()/2*($B76-1))-SIN(PI()/2*($B76-1)))) +($T$2*COS(D76))</f>
        <v>-1.531395259764657</v>
      </c>
      <c r="F76">
        <f>W$2+(COS(PI()/2*($B76-1))+SIN(PI()/2*($B76-1)))*S$2/2 - ($T$2*-(COS(PI()/2*($B76-1))+SIN(PI()/2*($B76-1)))) + ($T$2*SIN($D76))</f>
        <v>-1.4990133642141357</v>
      </c>
    </row>
    <row r="77" spans="1:6" x14ac:dyDescent="0.3">
      <c r="A77">
        <v>76</v>
      </c>
      <c r="B77">
        <v>4</v>
      </c>
      <c r="C77">
        <v>75</v>
      </c>
      <c r="D77">
        <f>(C77-U$2*(B77-1))/U$2*(PI()/2)+PI()/2*(B77-1)</f>
        <v>4.7123889803846897</v>
      </c>
      <c r="E77">
        <f>$V$2+(COS(PI()/2*($B77-1))-SIN(PI()/2*($B77-1)))*$R$2/2-($T$2*-(COS(PI()/2*($B77-1))-SIN(PI()/2*($B77-1)))) +($T$2*COS(D77))</f>
        <v>1.4999999999999996</v>
      </c>
      <c r="F77">
        <f>W$2+(COS(PI()/2*($B77-1))+SIN(PI()/2*($B77-1)))*S$2/2 - ($T$2*-(COS(PI()/2*($B77-1))+SIN(PI()/2*($B77-1)))) + ($T$2*SIN($D77))</f>
        <v>-1.5000000000000002</v>
      </c>
    </row>
    <row r="78" spans="1:6" x14ac:dyDescent="0.3">
      <c r="A78">
        <v>77</v>
      </c>
      <c r="B78">
        <v>4</v>
      </c>
      <c r="C78">
        <v>76</v>
      </c>
      <c r="D78">
        <f>(C78-U$2*(B78-1))/U$2*(PI()/2)+PI()/2*(B78-1)</f>
        <v>4.7752208334564852</v>
      </c>
      <c r="E78">
        <f>$V$2+(COS(PI()/2*($B78-1))-SIN(PI()/2*($B78-1)))*$R$2/2-($T$2*-(COS(PI()/2*($B78-1))-SIN(PI()/2*($B78-1)))) +($T$2*COS(D78))</f>
        <v>1.5313952597646561</v>
      </c>
      <c r="F78">
        <f>W$2+(COS(PI()/2*($B78-1))+SIN(PI()/2*($B78-1)))*S$2/2 - ($T$2*-(COS(PI()/2*($B78-1))+SIN(PI()/2*($B78-1)))) + ($T$2*SIN($D78))</f>
        <v>-1.4990133642141359</v>
      </c>
    </row>
    <row r="79" spans="1:6" x14ac:dyDescent="0.3">
      <c r="A79">
        <v>78</v>
      </c>
      <c r="B79">
        <v>4</v>
      </c>
      <c r="C79">
        <v>77</v>
      </c>
      <c r="D79">
        <f>(C79-U$2*(B79-1))/U$2*(PI()/2)+PI()/2*(B79-1)</f>
        <v>4.8380526865282816</v>
      </c>
      <c r="E79">
        <f>$V$2+(COS(PI()/2*($B79-1))-SIN(PI()/2*($B79-1)))*$R$2/2-($T$2*-(COS(PI()/2*($B79-1))-SIN(PI()/2*($B79-1)))) +($T$2*COS(D79))</f>
        <v>1.5626666167821517</v>
      </c>
      <c r="F79">
        <f>W$2+(COS(PI()/2*($B79-1))+SIN(PI()/2*($B79-1)))*S$2/2 - ($T$2*-(COS(PI()/2*($B79-1))+SIN(PI()/2*($B79-1)))) + ($T$2*SIN($D79))</f>
        <v>-1.4960573506572392</v>
      </c>
    </row>
    <row r="80" spans="1:6" x14ac:dyDescent="0.3">
      <c r="A80">
        <v>79</v>
      </c>
      <c r="B80">
        <v>4</v>
      </c>
      <c r="C80">
        <v>78</v>
      </c>
      <c r="D80">
        <f>(C80-U$2*(B80-1))/U$2*(PI()/2)+PI()/2*(B80-1)</f>
        <v>4.9008845396000771</v>
      </c>
      <c r="E80">
        <f>$V$2+(COS(PI()/2*($B80-1))-SIN(PI()/2*($B80-1)))*$R$2/2-($T$2*-(COS(PI()/2*($B80-1))-SIN(PI()/2*($B80-1)))) +($T$2*COS(D80))</f>
        <v>1.5936906572928617</v>
      </c>
      <c r="F80">
        <f>W$2+(COS(PI()/2*($B80-1))+SIN(PI()/2*($B80-1)))*S$2/2 - ($T$2*-(COS(PI()/2*($B80-1))+SIN(PI()/2*($B80-1)))) + ($T$2*SIN($D80))</f>
        <v>-1.4911436253643446</v>
      </c>
    </row>
    <row r="81" spans="1:6" x14ac:dyDescent="0.3">
      <c r="A81">
        <v>80</v>
      </c>
      <c r="B81">
        <v>4</v>
      </c>
      <c r="C81">
        <v>79</v>
      </c>
      <c r="D81">
        <f>(C81-U$2*(B81-1))/U$2*(PI()/2)+PI()/2*(B81-1)</f>
        <v>4.9637163926718735</v>
      </c>
      <c r="E81">
        <f>$V$2+(COS(PI()/2*($B81-1))-SIN(PI()/2*($B81-1)))*$R$2/2-($T$2*-(COS(PI()/2*($B81-1))-SIN(PI()/2*($B81-1)))) +($T$2*COS(D81))</f>
        <v>1.6243449435824271</v>
      </c>
      <c r="F81">
        <f>W$2+(COS(PI()/2*($B81-1))+SIN(PI()/2*($B81-1)))*S$2/2 - ($T$2*-(COS(PI()/2*($B81-1))+SIN(PI()/2*($B81-1)))) + ($T$2*SIN($D81))</f>
        <v>-1.4842915805643158</v>
      </c>
    </row>
    <row r="82" spans="1:6" x14ac:dyDescent="0.3">
      <c r="A82">
        <v>81</v>
      </c>
      <c r="B82">
        <v>4</v>
      </c>
      <c r="C82">
        <v>80</v>
      </c>
      <c r="D82">
        <f>(C82-U$2*(B82-1))/U$2*(PI()/2)+PI()/2*(B82-1)</f>
        <v>5.026548245743669</v>
      </c>
      <c r="E82">
        <f>$V$2+(COS(PI()/2*($B82-1))-SIN(PI()/2*($B82-1)))*$R$2/2-($T$2*-(COS(PI()/2*($B82-1))-SIN(PI()/2*($B82-1)))) +($T$2*COS(D82))</f>
        <v>1.6545084971874733</v>
      </c>
      <c r="F82">
        <f>W$2+(COS(PI()/2*($B82-1))+SIN(PI()/2*($B82-1)))*S$2/2 - ($T$2*-(COS(PI()/2*($B82-1))+SIN(PI()/2*($B82-1)))) + ($T$2*SIN($D82))</f>
        <v>-1.475528258147577</v>
      </c>
    </row>
    <row r="83" spans="1:6" x14ac:dyDescent="0.3">
      <c r="A83">
        <v>82</v>
      </c>
      <c r="B83">
        <v>4</v>
      </c>
      <c r="C83">
        <v>81</v>
      </c>
      <c r="D83">
        <f>(C83-U$2*(B83-1))/U$2*(PI()/2)+PI()/2*(B83-1)</f>
        <v>5.0893800988154645</v>
      </c>
      <c r="E83">
        <f>$V$2+(COS(PI()/2*($B83-1))-SIN(PI()/2*($B83-1)))*$R$2/2-($T$2*-(COS(PI()/2*($B83-1))-SIN(PI()/2*($B83-1)))) +($T$2*COS(D83))</f>
        <v>1.6840622763423383</v>
      </c>
      <c r="F83">
        <f>W$2+(COS(PI()/2*($B83-1))+SIN(PI()/2*($B83-1)))*S$2/2 - ($T$2*-(COS(PI()/2*($B83-1))+SIN(PI()/2*($B83-1)))) + ($T$2*SIN($D83))</f>
        <v>-1.4648882429441259</v>
      </c>
    </row>
    <row r="84" spans="1:6" x14ac:dyDescent="0.3">
      <c r="A84">
        <v>83</v>
      </c>
      <c r="B84">
        <v>4</v>
      </c>
      <c r="C84">
        <v>82</v>
      </c>
      <c r="D84">
        <f>(C84-U$2*(B84-1))/U$2*(PI()/2)+PI()/2*(B84-1)</f>
        <v>5.1522119518872609</v>
      </c>
      <c r="E84">
        <f>$V$2+(COS(PI()/2*($B84-1))-SIN(PI()/2*($B84-1)))*$R$2/2-($T$2*-(COS(PI()/2*($B84-1))-SIN(PI()/2*($B84-1)))) +($T$2*COS(D84))</f>
        <v>1.7128896457825358</v>
      </c>
      <c r="F84">
        <f>W$2+(COS(PI()/2*($B84-1))+SIN(PI()/2*($B84-1)))*S$2/2 - ($T$2*-(COS(PI()/2*($B84-1))+SIN(PI()/2*($B84-1)))) + ($T$2*SIN($D84))</f>
        <v>-1.45241352623301</v>
      </c>
    </row>
    <row r="85" spans="1:6" x14ac:dyDescent="0.3">
      <c r="A85">
        <v>84</v>
      </c>
      <c r="B85">
        <v>4</v>
      </c>
      <c r="C85">
        <v>83</v>
      </c>
      <c r="D85">
        <f>(C85-U$2*(B85-1))/U$2*(PI()/2)+PI()/2*(B85-1)</f>
        <v>5.2150438049590564</v>
      </c>
      <c r="E85">
        <f>$V$2+(COS(PI()/2*($B85-1))-SIN(PI()/2*($B85-1)))*$R$2/2-($T$2*-(COS(PI()/2*($B85-1))-SIN(PI()/2*($B85-1)))) +($T$2*COS(D85))</f>
        <v>1.7408768370508569</v>
      </c>
      <c r="F85">
        <f>W$2+(COS(PI()/2*($B85-1))+SIN(PI()/2*($B85-1)))*S$2/2 - ($T$2*-(COS(PI()/2*($B85-1))+SIN(PI()/2*($B85-1)))) + ($T$2*SIN($D85))</f>
        <v>-1.4381533400219322</v>
      </c>
    </row>
    <row r="86" spans="1:6" x14ac:dyDescent="0.3">
      <c r="A86">
        <v>85</v>
      </c>
      <c r="B86">
        <v>4</v>
      </c>
      <c r="C86">
        <v>84</v>
      </c>
      <c r="D86">
        <f>(C86-U$2*(B86-1))/U$2*(PI()/2)+PI()/2*(B86-1)</f>
        <v>5.2778756580308528</v>
      </c>
      <c r="E86">
        <f>$V$2+(COS(PI()/2*($B86-1))-SIN(PI()/2*($B86-1)))*$R$2/2-($T$2*-(COS(PI()/2*($B86-1))-SIN(PI()/2*($B86-1)))) +($T$2*COS(D86))</f>
        <v>1.7679133974894978</v>
      </c>
      <c r="F86">
        <f>W$2+(COS(PI()/2*($B86-1))+SIN(PI()/2*($B86-1)))*S$2/2 - ($T$2*-(COS(PI()/2*($B86-1))+SIN(PI()/2*($B86-1)))) + ($T$2*SIN($D86))</f>
        <v>-1.4221639627510076</v>
      </c>
    </row>
    <row r="87" spans="1:6" x14ac:dyDescent="0.3">
      <c r="A87">
        <v>86</v>
      </c>
      <c r="B87">
        <v>4</v>
      </c>
      <c r="C87">
        <v>85</v>
      </c>
      <c r="D87">
        <f>(C87-U$2*(B87-1))/U$2*(PI()/2)+PI()/2*(B87-1)</f>
        <v>5.3407075111026483</v>
      </c>
      <c r="E87">
        <f>$V$2+(COS(PI()/2*($B87-1))-SIN(PI()/2*($B87-1)))*$R$2/2-($T$2*-(COS(PI()/2*($B87-1))-SIN(PI()/2*($B87-1)))) +($T$2*COS(D87))</f>
        <v>1.793892626146236</v>
      </c>
      <c r="F87">
        <f>W$2+(COS(PI()/2*($B87-1))+SIN(PI()/2*($B87-1)))*S$2/2 - ($T$2*-(COS(PI()/2*($B87-1))+SIN(PI()/2*($B87-1)))) + ($T$2*SIN($D87))</f>
        <v>-1.4045084971874739</v>
      </c>
    </row>
    <row r="88" spans="1:6" x14ac:dyDescent="0.3">
      <c r="A88">
        <v>87</v>
      </c>
      <c r="B88">
        <v>4</v>
      </c>
      <c r="C88">
        <v>86</v>
      </c>
      <c r="D88">
        <f>(C88-U$2*(B88-1))/U$2*(PI()/2)+PI()/2*(B88-1)</f>
        <v>5.4035393641744438</v>
      </c>
      <c r="E88">
        <f>$V$2+(COS(PI()/2*($B88-1))-SIN(PI()/2*($B88-1)))*$R$2/2-($T$2*-(COS(PI()/2*($B88-1))-SIN(PI()/2*($B88-1)))) +($T$2*COS(D88))</f>
        <v>1.8187119948743442</v>
      </c>
      <c r="F88">
        <f>W$2+(COS(PI()/2*($B88-1))+SIN(PI()/2*($B88-1)))*S$2/2 - ($T$2*-(COS(PI()/2*($B88-1))+SIN(PI()/2*($B88-1)))) + ($T$2*SIN($D88))</f>
        <v>-1.385256621387895</v>
      </c>
    </row>
    <row r="89" spans="1:6" x14ac:dyDescent="0.3">
      <c r="A89">
        <v>88</v>
      </c>
      <c r="B89">
        <v>4</v>
      </c>
      <c r="C89">
        <v>87</v>
      </c>
      <c r="D89">
        <f>(C89-U$2*(B89-1))/U$2*(PI()/2)+PI()/2*(B89-1)</f>
        <v>5.4663712172462402</v>
      </c>
      <c r="E89">
        <f>$V$2+(COS(PI()/2*($B89-1))-SIN(PI()/2*($B89-1)))*$R$2/2-($T$2*-(COS(PI()/2*($B89-1))-SIN(PI()/2*($B89-1)))) +($T$2*COS(D89))</f>
        <v>1.8422735529643439</v>
      </c>
      <c r="F89">
        <f>W$2+(COS(PI()/2*($B89-1))+SIN(PI()/2*($B89-1)))*S$2/2 - ($T$2*-(COS(PI()/2*($B89-1))+SIN(PI()/2*($B89-1)))) + ($T$2*SIN($D89))</f>
        <v>-1.3644843137107059</v>
      </c>
    </row>
    <row r="90" spans="1:6" x14ac:dyDescent="0.3">
      <c r="A90">
        <v>89</v>
      </c>
      <c r="B90">
        <v>4</v>
      </c>
      <c r="C90">
        <v>88</v>
      </c>
      <c r="D90">
        <f>(C90-U$2*(B90-1))/U$2*(PI()/2)+PI()/2*(B90-1)</f>
        <v>5.5292030703180357</v>
      </c>
      <c r="E90">
        <f>$V$2+(COS(PI()/2*($B90-1))-SIN(PI()/2*($B90-1)))*$R$2/2-($T$2*-(COS(PI()/2*($B90-1))-SIN(PI()/2*($B90-1)))) +($T$2*COS(D90))</f>
        <v>1.8644843137107052</v>
      </c>
      <c r="F90">
        <f>W$2+(COS(PI()/2*($B90-1))+SIN(PI()/2*($B90-1)))*S$2/2 - ($T$2*-(COS(PI()/2*($B90-1))+SIN(PI()/2*($B90-1)))) + ($T$2*SIN($D90))</f>
        <v>-1.3422735529643446</v>
      </c>
    </row>
    <row r="91" spans="1:6" x14ac:dyDescent="0.3">
      <c r="A91">
        <v>90</v>
      </c>
      <c r="B91">
        <v>4</v>
      </c>
      <c r="C91">
        <v>89</v>
      </c>
      <c r="D91">
        <f>(C91-U$2*(B91-1))/U$2*(PI()/2)+PI()/2*(B91-1)</f>
        <v>5.5920349233898321</v>
      </c>
      <c r="E91">
        <f>$V$2+(COS(PI()/2*($B91-1))-SIN(PI()/2*($B91-1)))*$R$2/2-($T$2*-(COS(PI()/2*($B91-1))-SIN(PI()/2*($B91-1)))) +($T$2*COS(D91))</f>
        <v>1.8852566213878943</v>
      </c>
      <c r="F91">
        <f>W$2+(COS(PI()/2*($B91-1))+SIN(PI()/2*($B91-1)))*S$2/2 - ($T$2*-(COS(PI()/2*($B91-1))+SIN(PI()/2*($B91-1)))) + ($T$2*SIN($D91))</f>
        <v>-1.3187119948743451</v>
      </c>
    </row>
    <row r="92" spans="1:6" x14ac:dyDescent="0.3">
      <c r="A92">
        <v>91</v>
      </c>
      <c r="B92">
        <v>4</v>
      </c>
      <c r="C92">
        <v>90</v>
      </c>
      <c r="D92">
        <f>(C92-U$2*(B92-1))/U$2*(PI()/2)+PI()/2*(B92-1)</f>
        <v>5.6548667764616276</v>
      </c>
      <c r="E92">
        <f>$V$2+(COS(PI()/2*($B92-1))-SIN(PI()/2*($B92-1)))*$R$2/2-($T$2*-(COS(PI()/2*($B92-1))-SIN(PI()/2*($B92-1)))) +($T$2*COS(D92))</f>
        <v>1.9045084971874733</v>
      </c>
      <c r="F92">
        <f>W$2+(COS(PI()/2*($B92-1))+SIN(PI()/2*($B92-1)))*S$2/2 - ($T$2*-(COS(PI()/2*($B92-1))+SIN(PI()/2*($B92-1)))) + ($T$2*SIN($D92))</f>
        <v>-1.2938926261462369</v>
      </c>
    </row>
    <row r="93" spans="1:6" x14ac:dyDescent="0.3">
      <c r="A93">
        <v>92</v>
      </c>
      <c r="B93">
        <v>4</v>
      </c>
      <c r="C93">
        <v>91</v>
      </c>
      <c r="D93">
        <f>(C93-U$2*(B93-1))/U$2*(PI()/2)+PI()/2*(B93-1)</f>
        <v>5.7176986295334231</v>
      </c>
      <c r="E93">
        <f>$V$2+(COS(PI()/2*($B93-1))-SIN(PI()/2*($B93-1)))*$R$2/2-($T$2*-(COS(PI()/2*($B93-1))-SIN(PI()/2*($B93-1)))) +($T$2*COS(D93))</f>
        <v>1.922163962751007</v>
      </c>
      <c r="F93">
        <f>W$2+(COS(PI()/2*($B93-1))+SIN(PI()/2*($B93-1)))*S$2/2 - ($T$2*-(COS(PI()/2*($B93-1))+SIN(PI()/2*($B93-1)))) + ($T$2*SIN($D93))</f>
        <v>-1.2679133974894987</v>
      </c>
    </row>
    <row r="94" spans="1:6" x14ac:dyDescent="0.3">
      <c r="A94">
        <v>93</v>
      </c>
      <c r="B94">
        <v>4</v>
      </c>
      <c r="C94">
        <v>92</v>
      </c>
      <c r="D94">
        <f>(C94-U$2*(B94-1))/U$2*(PI()/2)+PI()/2*(B94-1)</f>
        <v>5.7805304826052195</v>
      </c>
      <c r="E94">
        <f>$V$2+(COS(PI()/2*($B94-1))-SIN(PI()/2*($B94-1)))*$R$2/2-($T$2*-(COS(PI()/2*($B94-1))-SIN(PI()/2*($B94-1)))) +($T$2*COS(D94))</f>
        <v>1.9381533400219313</v>
      </c>
      <c r="F94">
        <f>W$2+(COS(PI()/2*($B94-1))+SIN(PI()/2*($B94-1)))*S$2/2 - ($T$2*-(COS(PI()/2*($B94-1))+SIN(PI()/2*($B94-1)))) + ($T$2*SIN($D94))</f>
        <v>-1.2408768370508578</v>
      </c>
    </row>
    <row r="95" spans="1:6" x14ac:dyDescent="0.3">
      <c r="A95">
        <v>94</v>
      </c>
      <c r="B95">
        <v>4</v>
      </c>
      <c r="C95">
        <v>93</v>
      </c>
      <c r="D95">
        <f>(C95-U$2*(B95-1))/U$2*(PI()/2)+PI()/2*(B95-1)</f>
        <v>5.843362335677015</v>
      </c>
      <c r="E95">
        <f>$V$2+(COS(PI()/2*($B95-1))-SIN(PI()/2*($B95-1)))*$R$2/2-($T$2*-(COS(PI()/2*($B95-1))-SIN(PI()/2*($B95-1)))) +($T$2*COS(D95))</f>
        <v>1.9524135262330091</v>
      </c>
      <c r="F95">
        <f>W$2+(COS(PI()/2*($B95-1))+SIN(PI()/2*($B95-1)))*S$2/2 - ($T$2*-(COS(PI()/2*($B95-1))+SIN(PI()/2*($B95-1)))) + ($T$2*SIN($D95))</f>
        <v>-1.2128896457825367</v>
      </c>
    </row>
    <row r="96" spans="1:6" x14ac:dyDescent="0.3">
      <c r="A96">
        <v>95</v>
      </c>
      <c r="B96">
        <v>4</v>
      </c>
      <c r="C96">
        <v>94</v>
      </c>
      <c r="D96">
        <f>(C96-U$2*(B96-1))/U$2*(PI()/2)+PI()/2*(B96-1)</f>
        <v>5.9061941887488114</v>
      </c>
      <c r="E96">
        <f>$V$2+(COS(PI()/2*($B96-1))-SIN(PI()/2*($B96-1)))*$R$2/2-($T$2*-(COS(PI()/2*($B96-1))-SIN(PI()/2*($B96-1)))) +($T$2*COS(D96))</f>
        <v>1.9648882429441252</v>
      </c>
      <c r="F96">
        <f>W$2+(COS(PI()/2*($B96-1))+SIN(PI()/2*($B96-1)))*S$2/2 - ($T$2*-(COS(PI()/2*($B96-1))+SIN(PI()/2*($B96-1)))) + ($T$2*SIN($D96))</f>
        <v>-1.1840622763423392</v>
      </c>
    </row>
    <row r="97" spans="1:6" x14ac:dyDescent="0.3">
      <c r="A97">
        <v>96</v>
      </c>
      <c r="B97">
        <v>4</v>
      </c>
      <c r="C97">
        <v>95</v>
      </c>
      <c r="D97">
        <f>(C97-U$2*(B97-1))/U$2*(PI()/2)+PI()/2*(B97-1)</f>
        <v>5.9690260418206069</v>
      </c>
      <c r="E97">
        <f>$V$2+(COS(PI()/2*($B97-1))-SIN(PI()/2*($B97-1)))*$R$2/2-($T$2*-(COS(PI()/2*($B97-1))-SIN(PI()/2*($B97-1)))) +($T$2*COS(D97))</f>
        <v>1.9755282581475764</v>
      </c>
      <c r="F97">
        <f>W$2+(COS(PI()/2*($B97-1))+SIN(PI()/2*($B97-1)))*S$2/2 - ($T$2*-(COS(PI()/2*($B97-1))+SIN(PI()/2*($B97-1)))) + ($T$2*SIN($D97))</f>
        <v>-1.1545084971874739</v>
      </c>
    </row>
    <row r="98" spans="1:6" x14ac:dyDescent="0.3">
      <c r="A98">
        <v>97</v>
      </c>
      <c r="B98">
        <v>4</v>
      </c>
      <c r="C98">
        <v>96</v>
      </c>
      <c r="D98">
        <f>(C98-U$2*(B98-1))/U$2*(PI()/2)+PI()/2*(B98-1)</f>
        <v>6.0318578948924024</v>
      </c>
      <c r="E98">
        <f>$V$2+(COS(PI()/2*($B98-1))-SIN(PI()/2*($B98-1)))*$R$2/2-($T$2*-(COS(PI()/2*($B98-1))-SIN(PI()/2*($B98-1)))) +($T$2*COS(D98))</f>
        <v>1.9842915805643151</v>
      </c>
      <c r="F98">
        <f>W$2+(COS(PI()/2*($B98-1))+SIN(PI()/2*($B98-1)))*S$2/2 - ($T$2*-(COS(PI()/2*($B98-1))+SIN(PI()/2*($B98-1)))) + ($T$2*SIN($D98))</f>
        <v>-1.124344943582428</v>
      </c>
    </row>
    <row r="99" spans="1:6" x14ac:dyDescent="0.3">
      <c r="A99">
        <v>98</v>
      </c>
      <c r="B99">
        <v>4</v>
      </c>
      <c r="C99">
        <v>97</v>
      </c>
      <c r="D99">
        <f>(C99-U$2*(B99-1))/U$2*(PI()/2)+PI()/2*(B99-1)</f>
        <v>6.0946897479641988</v>
      </c>
      <c r="E99">
        <f>$V$2+(COS(PI()/2*($B99-1))-SIN(PI()/2*($B99-1)))*$R$2/2-($T$2*-(COS(PI()/2*($B99-1))-SIN(PI()/2*($B99-1)))) +($T$2*COS(D99))</f>
        <v>1.991143625364344</v>
      </c>
      <c r="F99">
        <f>W$2+(COS(PI()/2*($B99-1))+SIN(PI()/2*($B99-1)))*S$2/2 - ($T$2*-(COS(PI()/2*($B99-1))+SIN(PI()/2*($B99-1)))) + ($T$2*SIN($D99))</f>
        <v>-1.0936906572928626</v>
      </c>
    </row>
    <row r="100" spans="1:6" x14ac:dyDescent="0.3">
      <c r="A100">
        <v>99</v>
      </c>
      <c r="B100">
        <v>4</v>
      </c>
      <c r="C100">
        <v>98</v>
      </c>
      <c r="D100">
        <f>(C100-U$2*(B100-1))/U$2*(PI()/2)+PI()/2*(B100-1)</f>
        <v>6.1575216010359943</v>
      </c>
      <c r="E100">
        <f>$V$2+(COS(PI()/2*($B100-1))-SIN(PI()/2*($B100-1)))*$R$2/2-($T$2*-(COS(PI()/2*($B100-1))-SIN(PI()/2*($B100-1)))) +($T$2*COS(D100))</f>
        <v>1.9960573506572383</v>
      </c>
      <c r="F100">
        <f>W$2+(COS(PI()/2*($B100-1))+SIN(PI()/2*($B100-1)))*S$2/2 - ($T$2*-(COS(PI()/2*($B100-1))+SIN(PI()/2*($B100-1)))) + ($T$2*SIN($D100))</f>
        <v>-1.0626666167821526</v>
      </c>
    </row>
    <row r="101" spans="1:6" x14ac:dyDescent="0.3">
      <c r="A101">
        <v>100</v>
      </c>
      <c r="B101">
        <v>4</v>
      </c>
      <c r="C101">
        <v>99</v>
      </c>
      <c r="D101">
        <f>(C101-U$2*(B101-1))/U$2*(PI()/2)+PI()/2*(B101-1)</f>
        <v>6.2203534541077907</v>
      </c>
      <c r="E101">
        <f>$V$2+(COS(PI()/2*($B101-1))-SIN(PI()/2*($B101-1)))*$R$2/2-($T$2*-(COS(PI()/2*($B101-1))-SIN(PI()/2*($B101-1)))) +($T$2*COS(D101))</f>
        <v>1.9990133642141354</v>
      </c>
      <c r="F101">
        <f>W$2+(COS(PI()/2*($B101-1))+SIN(PI()/2*($B101-1)))*S$2/2 - ($T$2*-(COS(PI()/2*($B101-1))+SIN(PI()/2*($B101-1)))) + ($T$2*SIN($D101))</f>
        <v>-1.031395259764657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 Calixte</dc:creator>
  <cp:lastModifiedBy>Gio Calixte</cp:lastModifiedBy>
  <dcterms:created xsi:type="dcterms:W3CDTF">2026-04-02T02:26:24Z</dcterms:created>
  <dcterms:modified xsi:type="dcterms:W3CDTF">2026-04-02T07:01:15Z</dcterms:modified>
</cp:coreProperties>
</file>